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cuhk-my.sharepoint.com/personal/1155141671_link_cuhk_edu_hk/Documents/My Documents/Courses/Current/RMSC4007/project/Data/"/>
    </mc:Choice>
  </mc:AlternateContent>
  <xr:revisionPtr revIDLastSave="16" documentId="8_{CCA16DA8-F194-4D0C-9C08-73682ADA31DF}" xr6:coauthVersionLast="47" xr6:coauthVersionMax="47" xr10:uidLastSave="{E9D65504-A60A-440F-9DA9-2D82B5735C79}"/>
  <bookViews>
    <workbookView xWindow="-108" yWindow="-108" windowWidth="23256" windowHeight="12456" activeTab="1" xr2:uid="{00000000-000D-0000-FFFF-FFFF00000000}"/>
  </bookViews>
  <sheets>
    <sheet name="Volatility table" sheetId="2" r:id="rId1"/>
    <sheet name="RF" sheetId="3" r:id="rId2"/>
    <sheet name="Volatility Surface" sheetId="4" r:id="rId3"/>
  </sheets>
  <functionGroups builtInGroupCount="19"/>
  <calcPr calcId="191029"/>
</workbook>
</file>

<file path=xl/calcChain.xml><?xml version="1.0" encoding="utf-8"?>
<calcChain xmlns="http://schemas.openxmlformats.org/spreadsheetml/2006/main">
  <c r="E2" i="4" l="1"/>
  <c r="F1" i="4"/>
  <c r="G1" i="4"/>
  <c r="H1" i="4"/>
  <c r="I1" i="4"/>
  <c r="J1" i="4"/>
  <c r="K1" i="4"/>
  <c r="L1" i="4"/>
  <c r="M1" i="4"/>
  <c r="N1" i="4"/>
  <c r="P1" i="4"/>
  <c r="Q1" i="4"/>
  <c r="R1" i="4"/>
  <c r="S1" i="4"/>
  <c r="T1" i="4"/>
  <c r="U1" i="4"/>
  <c r="V1" i="4"/>
  <c r="W1" i="4"/>
  <c r="X1" i="4"/>
  <c r="D3" i="4"/>
  <c r="D4" i="4"/>
  <c r="D5" i="4"/>
  <c r="D6" i="4"/>
  <c r="D7" i="4"/>
  <c r="D8" i="4"/>
  <c r="D9" i="4"/>
  <c r="D10" i="4"/>
  <c r="D11" i="4"/>
  <c r="D12" i="4"/>
  <c r="E12" i="4" s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E24" i="4" s="1"/>
  <c r="B25" i="4"/>
  <c r="B2" i="4"/>
  <c r="E23" i="4"/>
  <c r="E22" i="4"/>
  <c r="E20" i="4"/>
  <c r="E18" i="4"/>
  <c r="E17" i="4"/>
  <c r="E15" i="4"/>
  <c r="E11" i="4"/>
  <c r="E10" i="4"/>
  <c r="E9" i="4"/>
  <c r="E8" i="4"/>
  <c r="E7" i="4"/>
  <c r="E6" i="4"/>
  <c r="E5" i="4"/>
  <c r="E4" i="4"/>
  <c r="E3" i="4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E1" i="3"/>
  <c r="F3" i="4"/>
  <c r="Q10" i="4"/>
  <c r="I18" i="4"/>
  <c r="T25" i="4"/>
  <c r="T20" i="4"/>
  <c r="L4" i="4"/>
  <c r="P12" i="4"/>
  <c r="I8" i="4"/>
  <c r="T15" i="4"/>
  <c r="L23" i="4"/>
  <c r="H22" i="4"/>
  <c r="S5" i="4"/>
  <c r="W13" i="4"/>
  <c r="T23" i="4"/>
  <c r="I10" i="4"/>
  <c r="T17" i="4"/>
  <c r="L25" i="4"/>
  <c r="N6" i="4"/>
  <c r="F14" i="4"/>
  <c r="Q21" i="4"/>
  <c r="G6" i="4"/>
  <c r="F9" i="4"/>
  <c r="Q16" i="4"/>
  <c r="I24" i="4"/>
  <c r="W5" i="4"/>
  <c r="O13" i="4"/>
  <c r="N5" i="4"/>
  <c r="O8" i="4"/>
  <c r="G16" i="4"/>
  <c r="R23" i="4"/>
  <c r="J21" i="4"/>
  <c r="N10" i="4"/>
  <c r="F18" i="4"/>
  <c r="V9" i="4"/>
  <c r="F8" i="4"/>
  <c r="Q15" i="4"/>
  <c r="I23" i="4"/>
  <c r="N2" i="4"/>
  <c r="O19" i="4"/>
  <c r="O16" i="4"/>
  <c r="R4" i="4"/>
  <c r="W21" i="4"/>
  <c r="R3" i="4"/>
  <c r="J11" i="4"/>
  <c r="U18" i="4"/>
  <c r="W11" i="4"/>
  <c r="M21" i="4"/>
  <c r="X4" i="4"/>
  <c r="I13" i="4"/>
  <c r="U8" i="4"/>
  <c r="M16" i="4"/>
  <c r="X23" i="4"/>
  <c r="M23" i="4"/>
  <c r="L6" i="4"/>
  <c r="I15" i="4"/>
  <c r="J3" i="4"/>
  <c r="U10" i="4"/>
  <c r="M18" i="4"/>
  <c r="X25" i="4"/>
  <c r="G7" i="4"/>
  <c r="R14" i="4"/>
  <c r="J22" i="4"/>
  <c r="K14" i="4"/>
  <c r="R9" i="4"/>
  <c r="J17" i="4"/>
  <c r="U24" i="4"/>
  <c r="P6" i="4"/>
  <c r="H14" i="4"/>
  <c r="T11" i="4"/>
  <c r="H9" i="4"/>
  <c r="S16" i="4"/>
  <c r="K24" i="4"/>
  <c r="O3" i="4"/>
  <c r="G11" i="4"/>
  <c r="R18" i="4"/>
  <c r="H11" i="4"/>
  <c r="R8" i="4"/>
  <c r="J16" i="4"/>
  <c r="U23" i="4"/>
  <c r="P2" i="4"/>
  <c r="W16" i="4"/>
  <c r="X7" i="4"/>
  <c r="W22" i="4"/>
  <c r="T6" i="4"/>
  <c r="K4" i="4"/>
  <c r="V11" i="4"/>
  <c r="N19" i="4"/>
  <c r="N14" i="4"/>
  <c r="F22" i="4"/>
  <c r="Q5" i="4"/>
  <c r="U13" i="4"/>
  <c r="N9" i="4"/>
  <c r="F17" i="4"/>
  <c r="Q24" i="4"/>
  <c r="F24" i="4"/>
  <c r="X6" i="4"/>
  <c r="U15" i="4"/>
  <c r="V3" i="4"/>
  <c r="N11" i="4"/>
  <c r="F19" i="4"/>
  <c r="O25" i="4"/>
  <c r="S7" i="4"/>
  <c r="K15" i="4"/>
  <c r="V22" i="4"/>
  <c r="V21" i="4"/>
  <c r="K10" i="4"/>
  <c r="V17" i="4"/>
  <c r="P18" i="4"/>
  <c r="I7" i="4"/>
  <c r="T14" i="4"/>
  <c r="G18" i="4"/>
  <c r="T9" i="4"/>
  <c r="L17" i="4"/>
  <c r="W24" i="4"/>
  <c r="H4" i="4"/>
  <c r="S11" i="4"/>
  <c r="K19" i="4"/>
  <c r="P15" i="4"/>
  <c r="K9" i="4"/>
  <c r="V16" i="4"/>
  <c r="N24" i="4"/>
  <c r="V2" i="4"/>
  <c r="O14" i="4"/>
  <c r="L20" i="4"/>
  <c r="I9" i="4"/>
  <c r="W4" i="4"/>
  <c r="O12" i="4"/>
  <c r="G20" i="4"/>
  <c r="G15" i="4"/>
  <c r="R22" i="4"/>
  <c r="J6" i="4"/>
  <c r="X19" i="4"/>
  <c r="G10" i="4"/>
  <c r="R17" i="4"/>
  <c r="J25" i="4"/>
  <c r="K25" i="4"/>
  <c r="Q7" i="4"/>
  <c r="G17" i="4"/>
  <c r="O4" i="4"/>
  <c r="G12" i="4"/>
  <c r="R19" i="4"/>
  <c r="L7" i="4"/>
  <c r="L8" i="4"/>
  <c r="W15" i="4"/>
  <c r="O23" i="4"/>
  <c r="L3" i="4"/>
  <c r="W10" i="4"/>
  <c r="O18" i="4"/>
  <c r="L22" i="4"/>
  <c r="U7" i="4"/>
  <c r="M15" i="4"/>
  <c r="O22" i="4"/>
  <c r="M10" i="4"/>
  <c r="X17" i="4"/>
  <c r="P25" i="4"/>
  <c r="T4" i="4"/>
  <c r="L12" i="4"/>
  <c r="W19" i="4"/>
  <c r="Q20" i="4"/>
  <c r="W9" i="4"/>
  <c r="O17" i="4"/>
  <c r="G25" i="4"/>
  <c r="K2" i="4"/>
  <c r="N4" i="4"/>
  <c r="L15" i="4"/>
  <c r="X24" i="4"/>
  <c r="P5" i="4"/>
  <c r="H13" i="4"/>
  <c r="S20" i="4"/>
  <c r="S15" i="4"/>
  <c r="K23" i="4"/>
  <c r="V6" i="4"/>
  <c r="H3" i="4"/>
  <c r="S10" i="4"/>
  <c r="K18" i="4"/>
  <c r="V25" i="4"/>
  <c r="U4" i="4"/>
  <c r="J8" i="4"/>
  <c r="L18" i="4"/>
  <c r="H5" i="4"/>
  <c r="S12" i="4"/>
  <c r="K20" i="4"/>
  <c r="R13" i="4"/>
  <c r="X8" i="4"/>
  <c r="P16" i="4"/>
  <c r="H24" i="4"/>
  <c r="X3" i="4"/>
  <c r="P11" i="4"/>
  <c r="H19" i="4"/>
  <c r="V24" i="4"/>
  <c r="N8" i="4"/>
  <c r="F16" i="4"/>
  <c r="N3" i="4"/>
  <c r="F11" i="4"/>
  <c r="Q18" i="4"/>
  <c r="S23" i="4"/>
  <c r="M5" i="4"/>
  <c r="X12" i="4"/>
  <c r="P20" i="4"/>
  <c r="R25" i="4"/>
  <c r="P10" i="4"/>
  <c r="H18" i="4"/>
  <c r="S25" i="4"/>
  <c r="R2" i="4"/>
  <c r="R10" i="4"/>
  <c r="I5" i="4"/>
  <c r="U14" i="4"/>
  <c r="J2" i="4"/>
  <c r="I6" i="4"/>
  <c r="T13" i="4"/>
  <c r="L21" i="4"/>
  <c r="L16" i="4"/>
  <c r="W23" i="4"/>
  <c r="O7" i="4"/>
  <c r="T3" i="4"/>
  <c r="L11" i="4"/>
  <c r="W18" i="4"/>
  <c r="F12" i="4"/>
  <c r="M12" i="4"/>
  <c r="V8" i="4"/>
  <c r="Q19" i="4"/>
  <c r="T5" i="4"/>
  <c r="L13" i="4"/>
  <c r="W20" i="4"/>
  <c r="L19" i="4"/>
  <c r="Q9" i="4"/>
  <c r="I17" i="4"/>
  <c r="T24" i="4"/>
  <c r="Q4" i="4"/>
  <c r="I12" i="4"/>
  <c r="T19" i="4"/>
  <c r="Q8" i="4"/>
  <c r="G9" i="4"/>
  <c r="R16" i="4"/>
  <c r="G4" i="4"/>
  <c r="R11" i="4"/>
  <c r="J19" i="4"/>
  <c r="Q25" i="4"/>
  <c r="F6" i="4"/>
  <c r="Q13" i="4"/>
  <c r="I21" i="4"/>
  <c r="Q3" i="4"/>
  <c r="I11" i="4"/>
  <c r="T18" i="4"/>
  <c r="U2" i="4"/>
  <c r="G2" i="4"/>
  <c r="S2" i="4"/>
  <c r="J20" i="4"/>
  <c r="S21" i="4"/>
  <c r="T16" i="4"/>
  <c r="U6" i="4"/>
  <c r="M14" i="4"/>
  <c r="X21" i="4"/>
  <c r="X16" i="4"/>
  <c r="P24" i="4"/>
  <c r="H8" i="4"/>
  <c r="M4" i="4"/>
  <c r="X11" i="4"/>
  <c r="P19" i="4"/>
  <c r="P14" i="4"/>
  <c r="S18" i="4"/>
  <c r="O9" i="4"/>
  <c r="O21" i="4"/>
  <c r="M6" i="4"/>
  <c r="X13" i="4"/>
  <c r="P21" i="4"/>
  <c r="F25" i="4"/>
  <c r="J10" i="4"/>
  <c r="U17" i="4"/>
  <c r="M25" i="4"/>
  <c r="J5" i="4"/>
  <c r="U12" i="4"/>
  <c r="M20" i="4"/>
  <c r="N17" i="4"/>
  <c r="S9" i="4"/>
  <c r="W17" i="4"/>
  <c r="S4" i="4"/>
  <c r="K12" i="4"/>
  <c r="V19" i="4"/>
  <c r="P3" i="4"/>
  <c r="R6" i="4"/>
  <c r="J14" i="4"/>
  <c r="U21" i="4"/>
  <c r="J4" i="4"/>
  <c r="U11" i="4"/>
  <c r="M19" i="4"/>
  <c r="L2" i="4"/>
  <c r="G22" i="4"/>
  <c r="T7" i="4"/>
  <c r="F13" i="4"/>
  <c r="N7" i="4"/>
  <c r="F15" i="4"/>
  <c r="Q22" i="4"/>
  <c r="Q17" i="4"/>
  <c r="I25" i="4"/>
  <c r="T8" i="4"/>
  <c r="F5" i="4"/>
  <c r="Q12" i="4"/>
  <c r="I20" i="4"/>
  <c r="N16" i="4"/>
  <c r="H23" i="4"/>
  <c r="H10" i="4"/>
  <c r="T22" i="4"/>
  <c r="F7" i="4"/>
  <c r="Q14" i="4"/>
  <c r="I22" i="4"/>
  <c r="K3" i="4"/>
  <c r="V10" i="4"/>
  <c r="N18" i="4"/>
  <c r="N25" i="4"/>
  <c r="V5" i="4"/>
  <c r="N13" i="4"/>
  <c r="F21" i="4"/>
  <c r="M24" i="4"/>
  <c r="L10" i="4"/>
  <c r="I19" i="4"/>
  <c r="L5" i="4"/>
  <c r="W12" i="4"/>
  <c r="O20" i="4"/>
  <c r="S6" i="4"/>
  <c r="K7" i="4"/>
  <c r="V14" i="4"/>
  <c r="N22" i="4"/>
  <c r="V4" i="4"/>
  <c r="N12" i="4"/>
  <c r="F20" i="4"/>
  <c r="X2" i="4"/>
  <c r="H2" i="4"/>
  <c r="O24" i="4"/>
  <c r="W8" i="4"/>
  <c r="J12" i="4"/>
  <c r="L14" i="4"/>
  <c r="G8" i="4"/>
  <c r="R15" i="4"/>
  <c r="J23" i="4"/>
  <c r="J18" i="4"/>
  <c r="U25" i="4"/>
  <c r="M9" i="4"/>
  <c r="R5" i="4"/>
  <c r="J13" i="4"/>
  <c r="U20" i="4"/>
  <c r="S17" i="4"/>
  <c r="I3" i="4"/>
  <c r="T10" i="4"/>
  <c r="R24" i="4"/>
  <c r="R7" i="4"/>
  <c r="J15" i="4"/>
  <c r="U22" i="4"/>
  <c r="W3" i="4"/>
  <c r="O11" i="4"/>
  <c r="G19" i="4"/>
  <c r="K17" i="4"/>
  <c r="O6" i="4"/>
  <c r="G14" i="4"/>
  <c r="R21" i="4"/>
  <c r="M3" i="4"/>
  <c r="X10" i="4"/>
  <c r="U19" i="4"/>
  <c r="X5" i="4"/>
  <c r="P13" i="4"/>
  <c r="H21" i="4"/>
  <c r="J9" i="4"/>
  <c r="W7" i="4"/>
  <c r="O15" i="4"/>
  <c r="G23" i="4"/>
  <c r="O5" i="4"/>
  <c r="G13" i="4"/>
  <c r="R20" i="4"/>
  <c r="O2" i="4"/>
  <c r="T2" i="4"/>
  <c r="R12" i="4"/>
  <c r="X22" i="4"/>
  <c r="S8" i="4"/>
  <c r="K16" i="4"/>
  <c r="V23" i="4"/>
  <c r="V18" i="4"/>
  <c r="W14" i="4"/>
  <c r="F10" i="4"/>
  <c r="K6" i="4"/>
  <c r="V13" i="4"/>
  <c r="N21" i="4"/>
  <c r="X18" i="4"/>
  <c r="U3" i="4"/>
  <c r="M11" i="4"/>
  <c r="W25" i="4"/>
  <c r="K8" i="4"/>
  <c r="V15" i="4"/>
  <c r="N23" i="4"/>
  <c r="P4" i="4"/>
  <c r="H12" i="4"/>
  <c r="S19" i="4"/>
  <c r="N20" i="4"/>
  <c r="H7" i="4"/>
  <c r="S14" i="4"/>
  <c r="K22" i="4"/>
  <c r="F4" i="4"/>
  <c r="Q11" i="4"/>
  <c r="G21" i="4"/>
  <c r="Q6" i="4"/>
  <c r="I14" i="4"/>
  <c r="T21" i="4"/>
  <c r="O10" i="4"/>
  <c r="P8" i="4"/>
  <c r="H16" i="4"/>
  <c r="L24" i="4"/>
  <c r="H6" i="4"/>
  <c r="S13" i="4"/>
  <c r="K21" i="4"/>
  <c r="Q2" i="4"/>
  <c r="I2" i="4"/>
  <c r="G3" i="4"/>
  <c r="G24" i="4"/>
  <c r="J7" i="4"/>
  <c r="W2" i="4"/>
  <c r="X9" i="4"/>
  <c r="P17" i="4"/>
  <c r="H25" i="4"/>
  <c r="H20" i="4"/>
  <c r="S3" i="4"/>
  <c r="K11" i="4"/>
  <c r="P7" i="4"/>
  <c r="H15" i="4"/>
  <c r="S22" i="4"/>
  <c r="V20" i="4"/>
  <c r="G5" i="4"/>
  <c r="K13" i="4"/>
  <c r="U16" i="4"/>
  <c r="P9" i="4"/>
  <c r="H17" i="4"/>
  <c r="S24" i="4"/>
  <c r="U5" i="4"/>
  <c r="M13" i="4"/>
  <c r="X20" i="4"/>
  <c r="Q23" i="4"/>
  <c r="M8" i="4"/>
  <c r="X15" i="4"/>
  <c r="P23" i="4"/>
  <c r="K5" i="4"/>
  <c r="V12" i="4"/>
  <c r="J24" i="4"/>
  <c r="V7" i="4"/>
  <c r="N15" i="4"/>
  <c r="F23" i="4"/>
  <c r="I16" i="4"/>
  <c r="U9" i="4"/>
  <c r="M17" i="4"/>
  <c r="I4" i="4"/>
  <c r="M7" i="4"/>
  <c r="X14" i="4"/>
  <c r="P22" i="4"/>
  <c r="M2" i="4"/>
  <c r="F2" i="4"/>
  <c r="L9" i="4"/>
  <c r="W6" i="4"/>
  <c r="T12" i="4"/>
  <c r="M22" i="4"/>
  <c r="E19" i="4" l="1"/>
  <c r="E21" i="4"/>
  <c r="E16" i="4"/>
  <c r="E14" i="4"/>
  <c r="E25" i="4"/>
  <c r="E13" i="4"/>
</calcChain>
</file>

<file path=xl/sharedStrings.xml><?xml version="1.0" encoding="utf-8"?>
<sst xmlns="http://schemas.openxmlformats.org/spreadsheetml/2006/main" count="79" uniqueCount="51">
  <si>
    <t>Exp</t>
  </si>
  <si>
    <t>Date</t>
  </si>
  <si>
    <t>Forward</t>
  </si>
  <si>
    <t>137.94</t>
  </si>
  <si>
    <t>165.53</t>
  </si>
  <si>
    <t>193.12</t>
  </si>
  <si>
    <t>206.91</t>
  </si>
  <si>
    <t>220.70</t>
  </si>
  <si>
    <t>234.50</t>
  </si>
  <si>
    <t>248.29</t>
  </si>
  <si>
    <t>262.09</t>
  </si>
  <si>
    <t>268.98</t>
  </si>
  <si>
    <t>282.78</t>
  </si>
  <si>
    <t>289.67</t>
  </si>
  <si>
    <t>303.47</t>
  </si>
  <si>
    <t>317.26</t>
  </si>
  <si>
    <t>331.06</t>
  </si>
  <si>
    <t>344.85</t>
  </si>
  <si>
    <t>358.64</t>
  </si>
  <si>
    <t>386.23</t>
  </si>
  <si>
    <t>413.82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</si>
  <si>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</si>
  <si>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</si>
  <si>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</si>
  <si>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</si>
  <si>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</si>
  <si>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</si>
  <si>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</si>
  <si>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</si>
  <si>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</si>
  <si>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</si>
  <si>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</si>
  <si>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</si>
  <si>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</si>
  <si>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</si>
  <si>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</si>
  <si>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</si>
  <si>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</si>
  <si>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</si>
  <si>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</si>
  <si>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</si>
  <si>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</si>
  <si>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</si>
  <si>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</si>
  <si>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</si>
  <si>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ATM</t>
    <phoneticPr fontId="3" type="noConversion"/>
  </si>
  <si>
    <t>Date</t>
    <phoneticPr fontId="3" type="noConversion"/>
  </si>
  <si>
    <t>Tenor</t>
    <phoneticPr fontId="3" type="noConversion"/>
  </si>
  <si>
    <t>Rate</t>
    <phoneticPr fontId="3" type="noConversion"/>
  </si>
  <si>
    <t>Annual Dividend Yield</t>
    <phoneticPr fontId="3" type="noConversion"/>
  </si>
  <si>
    <t>rf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</si>
</sst>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m\ dd\,\ yyyy"/>
    <numFmt numFmtId="177" formatCode="#,##0.000"/>
    <numFmt numFmtId="178" formatCode="0.0000"/>
    <numFmt numFmtId="179" formatCode="#,##0.0000"/>
    <numFmt numFmtId="180" formatCode="0.000%"/>
  </numFmts>
  <fonts count="4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E4E8ED"/>
        <bgColor rgb="FFE4E8ED"/>
      </patternFill>
    </fill>
    <fill>
      <patternFill patternType="solid">
        <fgColor rgb="FFFFFF00"/>
        <bgColor rgb="FFE4E8ED"/>
      </patternFill>
    </fill>
  </fills>
  <borders count="2">
    <border>
      <left/>
      <right/>
      <top/>
      <bottom/>
      <diagonal/>
    </border>
    <border>
      <left/>
      <right style="thin">
        <color rgb="FFB5B8BB"/>
      </right>
      <top/>
      <bottom style="thin">
        <color rgb="FFB5B8BB"/>
      </bottom>
      <diagonal/>
    </border>
  </borders>
  <cellStyleXfs count="2">
    <xf numFmtId="0" fontId="0" fillId="0" borderId="0" applyNumberFormat="0" applyBorder="0" applyAlignment="0"/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177" fontId="0" fillId="0" borderId="1" xfId="0" applyNumberFormat="1" applyBorder="1" applyAlignment="1">
      <alignment horizontal="right" vertical="center"/>
    </xf>
    <xf numFmtId="14" fontId="0" fillId="0" borderId="0" xfId="0" applyNumberFormat="1"/>
    <xf numFmtId="15" fontId="0" fillId="0" borderId="0" xfId="0" applyNumberFormat="1"/>
    <xf numFmtId="178" fontId="0" fillId="0" borderId="0" xfId="0" applyNumberFormat="1"/>
    <xf numFmtId="10" fontId="0" fillId="0" borderId="0" xfId="1" applyNumberFormat="1" applyFont="1" applyAlignment="1"/>
    <xf numFmtId="178" fontId="0" fillId="0" borderId="1" xfId="0" applyNumberFormat="1" applyBorder="1" applyAlignment="1">
      <alignment horizontal="left" vertical="center"/>
    </xf>
    <xf numFmtId="179" fontId="0" fillId="0" borderId="1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80" fontId="0" fillId="0" borderId="0" xfId="1" applyNumberFormat="1" applyFont="1" applyAlignment="1"/>
    <xf numFmtId="2" fontId="0" fillId="0" borderId="0" xfId="0" applyNumberFormat="1"/>
    <xf numFmtId="2" fontId="1" fillId="3" borderId="1" xfId="0" applyNumberFormat="1" applyFont="1" applyFill="1" applyBorder="1" applyAlignment="1">
      <alignment horizontal="right" vertical="center"/>
    </xf>
  </cellXfs>
  <cellStyles count="2">
    <cellStyle name="Normal" xfId="0" builtinId="0"/>
    <cellStyle name="Percent 2" xfId="1" xr:uid="{7B1A158C-94F4-466E-B003-1B1F93C44C5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-0.499984740745262"/>
    <pageSetUpPr fitToPage="1"/>
  </sheetPr>
  <dimension ref="A1:V25"/>
  <sheetViews>
    <sheetView workbookViewId="0">
      <selection activeCell="D1" sqref="D1:V1"/>
    </sheetView>
  </sheetViews>
  <sheetFormatPr defaultRowHeight="14.4" x14ac:dyDescent="0.3"/>
  <cols>
    <col min="1" max="1" width="5" customWidth="1"/>
    <col min="2" max="2" width="13.21875" customWidth="1"/>
    <col min="3" max="3" width="9.109375" customWidth="1"/>
    <col min="4" max="22" width="7.6640625" customWidth="1"/>
  </cols>
  <sheetData>
    <row r="1" spans="1:22" x14ac:dyDescent="0.3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45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</row>
    <row r="2" spans="1:22" x14ac:dyDescent="0.3">
      <c r="A2" s="3" t="s">
        <v>21</v>
      </c>
      <c r="B2" s="4">
        <v>44907</v>
      </c>
      <c r="C2" s="5">
        <v>276.92</v>
      </c>
      <c r="D2" s="5">
        <v>69.92</v>
      </c>
      <c r="E2" s="5">
        <v>59.540999999999997</v>
      </c>
      <c r="F2" s="5">
        <v>49.216999999999999</v>
      </c>
      <c r="G2" s="5">
        <v>43.927999999999997</v>
      </c>
      <c r="H2" s="5">
        <v>38.488</v>
      </c>
      <c r="I2" s="5">
        <v>32.905000000000001</v>
      </c>
      <c r="J2" s="5">
        <v>27.381</v>
      </c>
      <c r="K2" s="5">
        <v>22.558</v>
      </c>
      <c r="L2" s="5">
        <v>20.696000000000002</v>
      </c>
      <c r="M2" s="5">
        <v>19.309000000000001</v>
      </c>
      <c r="N2" s="5">
        <v>18.54</v>
      </c>
      <c r="O2" s="5">
        <v>18.363</v>
      </c>
      <c r="P2" s="5">
        <v>18.79</v>
      </c>
      <c r="Q2" s="5">
        <v>19.681999999999999</v>
      </c>
      <c r="R2" s="5">
        <v>20.74</v>
      </c>
      <c r="S2" s="5">
        <v>21.834</v>
      </c>
      <c r="T2" s="5">
        <v>22.911000000000001</v>
      </c>
      <c r="U2" s="5">
        <v>24.934999999999999</v>
      </c>
      <c r="V2" s="5">
        <v>26.763000000000002</v>
      </c>
    </row>
    <row r="3" spans="1:22" x14ac:dyDescent="0.3">
      <c r="A3" s="3" t="s">
        <v>22</v>
      </c>
      <c r="B3" s="4">
        <v>44936</v>
      </c>
      <c r="C3" s="5">
        <v>277.94</v>
      </c>
      <c r="D3" s="5">
        <v>59.186</v>
      </c>
      <c r="E3" s="5">
        <v>50.832000000000001</v>
      </c>
      <c r="F3" s="5">
        <v>42.622999999999998</v>
      </c>
      <c r="G3" s="5">
        <v>38.472999999999999</v>
      </c>
      <c r="H3" s="5">
        <v>34.253999999999998</v>
      </c>
      <c r="I3" s="5">
        <v>29.977</v>
      </c>
      <c r="J3" s="5">
        <v>25.757999999999999</v>
      </c>
      <c r="K3" s="5">
        <v>21.949000000000002</v>
      </c>
      <c r="L3" s="5">
        <v>20.384</v>
      </c>
      <c r="M3" s="5">
        <v>19.138999999999999</v>
      </c>
      <c r="N3" s="5">
        <v>18.241</v>
      </c>
      <c r="O3" s="5">
        <v>17.672000000000001</v>
      </c>
      <c r="P3" s="5">
        <v>17.314</v>
      </c>
      <c r="Q3" s="5">
        <v>17.61</v>
      </c>
      <c r="R3" s="5">
        <v>18.225000000000001</v>
      </c>
      <c r="S3" s="5">
        <v>18.978999999999999</v>
      </c>
      <c r="T3" s="5">
        <v>19.783000000000001</v>
      </c>
      <c r="U3" s="5">
        <v>21.38</v>
      </c>
      <c r="V3" s="5">
        <v>22.876999999999999</v>
      </c>
    </row>
    <row r="4" spans="1:22" x14ac:dyDescent="0.3">
      <c r="A4" s="3" t="s">
        <v>23</v>
      </c>
      <c r="B4" s="4">
        <v>44967</v>
      </c>
      <c r="C4" s="5">
        <v>279.10199999999998</v>
      </c>
      <c r="D4" s="5">
        <v>53.244999999999997</v>
      </c>
      <c r="E4" s="5">
        <v>46.198999999999998</v>
      </c>
      <c r="F4" s="5">
        <v>39.375</v>
      </c>
      <c r="G4" s="5">
        <v>35.978000000000002</v>
      </c>
      <c r="H4" s="5">
        <v>32.570999999999998</v>
      </c>
      <c r="I4" s="5">
        <v>29.161999999999999</v>
      </c>
      <c r="J4" s="5">
        <v>25.82</v>
      </c>
      <c r="K4" s="5">
        <v>22.727</v>
      </c>
      <c r="L4" s="5">
        <v>21.373999999999999</v>
      </c>
      <c r="M4" s="5">
        <v>20.210999999999999</v>
      </c>
      <c r="N4" s="5">
        <v>19.273</v>
      </c>
      <c r="O4" s="5">
        <v>18.57</v>
      </c>
      <c r="P4" s="5">
        <v>17.818000000000001</v>
      </c>
      <c r="Q4" s="5">
        <v>17.744</v>
      </c>
      <c r="R4" s="5">
        <v>18.096</v>
      </c>
      <c r="S4" s="5">
        <v>18.684000000000001</v>
      </c>
      <c r="T4" s="5">
        <v>19.385999999999999</v>
      </c>
      <c r="U4" s="5">
        <v>20.893999999999998</v>
      </c>
      <c r="V4" s="5">
        <v>22.369</v>
      </c>
    </row>
    <row r="5" spans="1:22" x14ac:dyDescent="0.3">
      <c r="A5" s="3" t="s">
        <v>24</v>
      </c>
      <c r="B5" s="4">
        <v>44995</v>
      </c>
      <c r="C5" s="5">
        <v>280.18599999999998</v>
      </c>
      <c r="D5" s="5">
        <v>50.063000000000002</v>
      </c>
      <c r="E5" s="5">
        <v>43.767000000000003</v>
      </c>
      <c r="F5" s="5">
        <v>37.735999999999997</v>
      </c>
      <c r="G5" s="5">
        <v>34.768999999999998</v>
      </c>
      <c r="H5" s="5">
        <v>31.818999999999999</v>
      </c>
      <c r="I5" s="5">
        <v>28.898</v>
      </c>
      <c r="J5" s="5">
        <v>26.047000000000001</v>
      </c>
      <c r="K5" s="5">
        <v>23.37</v>
      </c>
      <c r="L5" s="5">
        <v>22.152999999999999</v>
      </c>
      <c r="M5" s="5">
        <v>21.055</v>
      </c>
      <c r="N5" s="5">
        <v>20.106999999999999</v>
      </c>
      <c r="O5" s="5">
        <v>19.331</v>
      </c>
      <c r="P5" s="5">
        <v>18.329000000000001</v>
      </c>
      <c r="Q5" s="5">
        <v>17.998000000000001</v>
      </c>
      <c r="R5" s="5">
        <v>18.154</v>
      </c>
      <c r="S5" s="5">
        <v>18.609000000000002</v>
      </c>
      <c r="T5" s="5">
        <v>19.228000000000002</v>
      </c>
      <c r="U5" s="5">
        <v>20.652999999999999</v>
      </c>
      <c r="V5" s="5">
        <v>22.100999999999999</v>
      </c>
    </row>
    <row r="6" spans="1:22" x14ac:dyDescent="0.3">
      <c r="A6" s="3" t="s">
        <v>25</v>
      </c>
      <c r="B6" s="4">
        <v>45026</v>
      </c>
      <c r="C6" s="5">
        <v>281.40899999999999</v>
      </c>
      <c r="D6" s="5">
        <v>47.497999999999998</v>
      </c>
      <c r="E6" s="5">
        <v>41.88</v>
      </c>
      <c r="F6" s="5">
        <v>36.53</v>
      </c>
      <c r="G6" s="5">
        <v>33.906999999999996</v>
      </c>
      <c r="H6" s="5">
        <v>31.303999999999998</v>
      </c>
      <c r="I6" s="5">
        <v>28.72</v>
      </c>
      <c r="J6" s="5">
        <v>26.172999999999998</v>
      </c>
      <c r="K6" s="5">
        <v>23.712</v>
      </c>
      <c r="L6" s="5">
        <v>22.544</v>
      </c>
      <c r="M6" s="5">
        <v>21.442</v>
      </c>
      <c r="N6" s="5">
        <v>20.431000000000001</v>
      </c>
      <c r="O6" s="5">
        <v>19.542999999999999</v>
      </c>
      <c r="P6" s="5">
        <v>18.317</v>
      </c>
      <c r="Q6" s="5">
        <v>17.945</v>
      </c>
      <c r="R6" s="5">
        <v>18.103999999999999</v>
      </c>
      <c r="S6" s="5">
        <v>18.515999999999998</v>
      </c>
      <c r="T6" s="5">
        <v>19.05</v>
      </c>
      <c r="U6" s="5">
        <v>20.244</v>
      </c>
      <c r="V6" s="5">
        <v>21.443000000000001</v>
      </c>
    </row>
    <row r="7" spans="1:22" x14ac:dyDescent="0.3">
      <c r="A7" s="3" t="s">
        <v>26</v>
      </c>
      <c r="B7" s="4">
        <v>45056</v>
      </c>
      <c r="C7" s="5">
        <v>282.61200000000002</v>
      </c>
      <c r="D7" s="5">
        <v>45.704000000000001</v>
      </c>
      <c r="E7" s="5">
        <v>40.582999999999998</v>
      </c>
      <c r="F7" s="5">
        <v>35.72</v>
      </c>
      <c r="G7" s="5">
        <v>33.338000000000001</v>
      </c>
      <c r="H7" s="5">
        <v>30.969000000000001</v>
      </c>
      <c r="I7" s="5">
        <v>28.605</v>
      </c>
      <c r="J7" s="5">
        <v>26.245999999999999</v>
      </c>
      <c r="K7" s="5">
        <v>23.908999999999999</v>
      </c>
      <c r="L7" s="5">
        <v>22.763000000000002</v>
      </c>
      <c r="M7" s="5">
        <v>21.648</v>
      </c>
      <c r="N7" s="5">
        <v>20.584</v>
      </c>
      <c r="O7" s="5">
        <v>19.61</v>
      </c>
      <c r="P7" s="5">
        <v>18.225000000000001</v>
      </c>
      <c r="Q7" s="5">
        <v>17.859000000000002</v>
      </c>
      <c r="R7" s="5">
        <v>18.050999999999998</v>
      </c>
      <c r="S7" s="5">
        <v>18.446000000000002</v>
      </c>
      <c r="T7" s="5">
        <v>18.917999999999999</v>
      </c>
      <c r="U7" s="5">
        <v>19.919</v>
      </c>
      <c r="V7" s="5">
        <v>20.893999999999998</v>
      </c>
    </row>
    <row r="8" spans="1:22" x14ac:dyDescent="0.3">
      <c r="A8" s="3" t="s">
        <v>27</v>
      </c>
      <c r="B8" s="4">
        <v>45089</v>
      </c>
      <c r="C8" s="5">
        <v>283.94900000000001</v>
      </c>
      <c r="D8" s="5">
        <v>44.261000000000003</v>
      </c>
      <c r="E8" s="5">
        <v>39.545999999999999</v>
      </c>
      <c r="F8" s="5">
        <v>35.079000000000001</v>
      </c>
      <c r="G8" s="5">
        <v>32.889000000000003</v>
      </c>
      <c r="H8" s="5">
        <v>30.707000000000001</v>
      </c>
      <c r="I8" s="5">
        <v>28.515999999999998</v>
      </c>
      <c r="J8" s="5">
        <v>26.303999999999998</v>
      </c>
      <c r="K8" s="5">
        <v>24.061</v>
      </c>
      <c r="L8" s="5">
        <v>22.931999999999999</v>
      </c>
      <c r="M8" s="5">
        <v>21.806000000000001</v>
      </c>
      <c r="N8" s="5">
        <v>20.702000000000002</v>
      </c>
      <c r="O8" s="5">
        <v>19.663</v>
      </c>
      <c r="P8" s="5">
        <v>18.154</v>
      </c>
      <c r="Q8" s="5">
        <v>17.791</v>
      </c>
      <c r="R8" s="5">
        <v>18.010000000000002</v>
      </c>
      <c r="S8" s="5">
        <v>18.391999999999999</v>
      </c>
      <c r="T8" s="5">
        <v>18.815000000000001</v>
      </c>
      <c r="U8" s="5">
        <v>19.663</v>
      </c>
      <c r="V8" s="5">
        <v>20.457999999999998</v>
      </c>
    </row>
    <row r="9" spans="1:22" x14ac:dyDescent="0.3">
      <c r="A9" s="3" t="s">
        <v>28</v>
      </c>
      <c r="B9" s="4">
        <v>45117</v>
      </c>
      <c r="C9" s="5">
        <v>285.089</v>
      </c>
      <c r="D9" s="5">
        <v>43.320999999999998</v>
      </c>
      <c r="E9" s="5">
        <v>38.808</v>
      </c>
      <c r="F9" s="5">
        <v>34.540999999999997</v>
      </c>
      <c r="G9" s="5">
        <v>32.454000000000001</v>
      </c>
      <c r="H9" s="5">
        <v>30.376000000000001</v>
      </c>
      <c r="I9" s="5">
        <v>28.292000000000002</v>
      </c>
      <c r="J9" s="5">
        <v>26.187000000000001</v>
      </c>
      <c r="K9" s="5">
        <v>24.052</v>
      </c>
      <c r="L9" s="5">
        <v>22.972999999999999</v>
      </c>
      <c r="M9" s="5">
        <v>21.893000000000001</v>
      </c>
      <c r="N9" s="5">
        <v>20.826000000000001</v>
      </c>
      <c r="O9" s="5">
        <v>19.805</v>
      </c>
      <c r="P9" s="5">
        <v>18.204000000000001</v>
      </c>
      <c r="Q9" s="5">
        <v>17.843</v>
      </c>
      <c r="R9" s="5">
        <v>18.039000000000001</v>
      </c>
      <c r="S9" s="5">
        <v>18.361999999999998</v>
      </c>
      <c r="T9" s="5">
        <v>18.716000000000001</v>
      </c>
      <c r="U9" s="5">
        <v>19.419</v>
      </c>
      <c r="V9" s="5">
        <v>20.079000000000001</v>
      </c>
    </row>
    <row r="10" spans="1:22" x14ac:dyDescent="0.3">
      <c r="A10" s="3" t="s">
        <v>29</v>
      </c>
      <c r="B10" s="4">
        <v>45148</v>
      </c>
      <c r="C10" s="5">
        <v>286.34699999999998</v>
      </c>
      <c r="D10" s="5">
        <v>42.487000000000002</v>
      </c>
      <c r="E10" s="5">
        <v>38.143999999999998</v>
      </c>
      <c r="F10" s="5">
        <v>34.046999999999997</v>
      </c>
      <c r="G10" s="5">
        <v>32.046999999999997</v>
      </c>
      <c r="H10" s="5">
        <v>30.058</v>
      </c>
      <c r="I10" s="5">
        <v>28.067</v>
      </c>
      <c r="J10" s="5">
        <v>26.06</v>
      </c>
      <c r="K10" s="5">
        <v>24.026</v>
      </c>
      <c r="L10" s="5">
        <v>22.998000000000001</v>
      </c>
      <c r="M10" s="5">
        <v>21.966000000000001</v>
      </c>
      <c r="N10" s="5">
        <v>20.940999999999999</v>
      </c>
      <c r="O10" s="5">
        <v>19.945</v>
      </c>
      <c r="P10" s="5">
        <v>18.263000000000002</v>
      </c>
      <c r="Q10" s="5">
        <v>17.904</v>
      </c>
      <c r="R10" s="5">
        <v>18.074000000000002</v>
      </c>
      <c r="S10" s="5">
        <v>18.338000000000001</v>
      </c>
      <c r="T10" s="5">
        <v>18.623999999999999</v>
      </c>
      <c r="U10" s="5">
        <v>19.192</v>
      </c>
      <c r="V10" s="5">
        <v>19.727</v>
      </c>
    </row>
    <row r="11" spans="1:22" x14ac:dyDescent="0.3">
      <c r="A11" s="3" t="s">
        <v>30</v>
      </c>
      <c r="B11" s="4">
        <v>45180</v>
      </c>
      <c r="C11" s="5">
        <v>287.63099999999997</v>
      </c>
      <c r="D11" s="5">
        <v>41.792999999999999</v>
      </c>
      <c r="E11" s="5">
        <v>37.591999999999999</v>
      </c>
      <c r="F11" s="5">
        <v>33.637</v>
      </c>
      <c r="G11" s="5">
        <v>31.709</v>
      </c>
      <c r="H11" s="5">
        <v>29.795999999999999</v>
      </c>
      <c r="I11" s="5">
        <v>27.882000000000001</v>
      </c>
      <c r="J11" s="5">
        <v>25.956</v>
      </c>
      <c r="K11" s="5">
        <v>24.004999999999999</v>
      </c>
      <c r="L11" s="5">
        <v>23.018000000000001</v>
      </c>
      <c r="M11" s="5">
        <v>22.026</v>
      </c>
      <c r="N11" s="5">
        <v>21.033999999999999</v>
      </c>
      <c r="O11" s="5">
        <v>20.059000000000001</v>
      </c>
      <c r="P11" s="5">
        <v>18.312000000000001</v>
      </c>
      <c r="Q11" s="5">
        <v>17.952999999999999</v>
      </c>
      <c r="R11" s="5">
        <v>18.102</v>
      </c>
      <c r="S11" s="5">
        <v>18.317</v>
      </c>
      <c r="T11" s="5">
        <v>18.547999999999998</v>
      </c>
      <c r="U11" s="5">
        <v>19.004000000000001</v>
      </c>
      <c r="V11" s="5">
        <v>19.434999999999999</v>
      </c>
    </row>
    <row r="12" spans="1:22" x14ac:dyDescent="0.3">
      <c r="A12" s="3" t="s">
        <v>31</v>
      </c>
      <c r="B12" s="4">
        <v>45209</v>
      </c>
      <c r="C12" s="5">
        <v>288.77800000000002</v>
      </c>
      <c r="D12" s="5">
        <v>41.271000000000001</v>
      </c>
      <c r="E12" s="5">
        <v>37.177999999999997</v>
      </c>
      <c r="F12" s="5">
        <v>33.33</v>
      </c>
      <c r="G12" s="5">
        <v>31.457000000000001</v>
      </c>
      <c r="H12" s="5">
        <v>29.6</v>
      </c>
      <c r="I12" s="5">
        <v>27.744</v>
      </c>
      <c r="J12" s="5">
        <v>25.878</v>
      </c>
      <c r="K12" s="5">
        <v>23.989000000000001</v>
      </c>
      <c r="L12" s="5">
        <v>23.033000000000001</v>
      </c>
      <c r="M12" s="5">
        <v>22.07</v>
      </c>
      <c r="N12" s="5">
        <v>21.103000000000002</v>
      </c>
      <c r="O12" s="5">
        <v>20.143000000000001</v>
      </c>
      <c r="P12" s="5">
        <v>18.347000000000001</v>
      </c>
      <c r="Q12" s="5">
        <v>17.989000000000001</v>
      </c>
      <c r="R12" s="5">
        <v>18.123000000000001</v>
      </c>
      <c r="S12" s="5">
        <v>18.302</v>
      </c>
      <c r="T12" s="5">
        <v>18.491</v>
      </c>
      <c r="U12" s="5">
        <v>18.864000000000001</v>
      </c>
      <c r="V12" s="5">
        <v>19.215</v>
      </c>
    </row>
    <row r="13" spans="1:22" x14ac:dyDescent="0.3">
      <c r="A13" s="3" t="s">
        <v>32</v>
      </c>
      <c r="B13" s="4">
        <v>45240</v>
      </c>
      <c r="C13" s="5">
        <v>289.98500000000001</v>
      </c>
      <c r="D13" s="5">
        <v>40.798999999999999</v>
      </c>
      <c r="E13" s="5">
        <v>36.804000000000002</v>
      </c>
      <c r="F13" s="5">
        <v>33.054000000000002</v>
      </c>
      <c r="G13" s="5">
        <v>31.23</v>
      </c>
      <c r="H13" s="5">
        <v>29.423999999999999</v>
      </c>
      <c r="I13" s="5">
        <v>27.620999999999999</v>
      </c>
      <c r="J13" s="5">
        <v>25.809000000000001</v>
      </c>
      <c r="K13" s="5">
        <v>23.975000000000001</v>
      </c>
      <c r="L13" s="5">
        <v>23.045999999999999</v>
      </c>
      <c r="M13" s="5">
        <v>22.109000000000002</v>
      </c>
      <c r="N13" s="5">
        <v>21.164999999999999</v>
      </c>
      <c r="O13" s="5">
        <v>20.218</v>
      </c>
      <c r="P13" s="5">
        <v>18.379000000000001</v>
      </c>
      <c r="Q13" s="5">
        <v>18.021999999999998</v>
      </c>
      <c r="R13" s="5">
        <v>18.141999999999999</v>
      </c>
      <c r="S13" s="5">
        <v>18.289000000000001</v>
      </c>
      <c r="T13" s="5">
        <v>18.440999999999999</v>
      </c>
      <c r="U13" s="5">
        <v>18.738</v>
      </c>
      <c r="V13" s="5">
        <v>19.016999999999999</v>
      </c>
    </row>
    <row r="14" spans="1:22" x14ac:dyDescent="0.3">
      <c r="A14" s="3" t="s">
        <v>33</v>
      </c>
      <c r="B14" s="4">
        <v>45271</v>
      </c>
      <c r="C14" s="5">
        <v>291.16899999999998</v>
      </c>
      <c r="D14" s="5">
        <v>40.396000000000001</v>
      </c>
      <c r="E14" s="5">
        <v>36.485999999999997</v>
      </c>
      <c r="F14" s="5">
        <v>32.817999999999998</v>
      </c>
      <c r="G14" s="5">
        <v>31.038</v>
      </c>
      <c r="H14" s="5">
        <v>29.274000000000001</v>
      </c>
      <c r="I14" s="5">
        <v>27.515999999999998</v>
      </c>
      <c r="J14" s="5">
        <v>25.75</v>
      </c>
      <c r="K14" s="5">
        <v>23.963000000000001</v>
      </c>
      <c r="L14" s="5">
        <v>23.058</v>
      </c>
      <c r="M14" s="5">
        <v>22.141999999999999</v>
      </c>
      <c r="N14" s="5">
        <v>21.216000000000001</v>
      </c>
      <c r="O14" s="5">
        <v>20.280999999999999</v>
      </c>
      <c r="P14" s="5">
        <v>18.405999999999999</v>
      </c>
      <c r="Q14" s="5">
        <v>18.048999999999999</v>
      </c>
      <c r="R14" s="5">
        <v>18.157</v>
      </c>
      <c r="S14" s="5">
        <v>18.277000000000001</v>
      </c>
      <c r="T14" s="5">
        <v>18.398</v>
      </c>
      <c r="U14" s="5">
        <v>18.631</v>
      </c>
      <c r="V14" s="5">
        <v>18.847999999999999</v>
      </c>
    </row>
    <row r="15" spans="1:22" x14ac:dyDescent="0.3">
      <c r="A15" s="3" t="s">
        <v>34</v>
      </c>
      <c r="B15" s="4">
        <v>45301</v>
      </c>
      <c r="C15" s="5">
        <v>292.29399999999998</v>
      </c>
      <c r="D15" s="5">
        <v>40.058999999999997</v>
      </c>
      <c r="E15" s="5">
        <v>36.219000000000001</v>
      </c>
      <c r="F15" s="5">
        <v>32.622</v>
      </c>
      <c r="G15" s="5">
        <v>30.876999999999999</v>
      </c>
      <c r="H15" s="5">
        <v>29.15</v>
      </c>
      <c r="I15" s="5">
        <v>27.428999999999998</v>
      </c>
      <c r="J15" s="5">
        <v>25.701000000000001</v>
      </c>
      <c r="K15" s="5">
        <v>23.952999999999999</v>
      </c>
      <c r="L15" s="5">
        <v>23.067</v>
      </c>
      <c r="M15" s="5">
        <v>22.17</v>
      </c>
      <c r="N15" s="5">
        <v>21.259</v>
      </c>
      <c r="O15" s="5">
        <v>20.332999999999998</v>
      </c>
      <c r="P15" s="5">
        <v>18.428000000000001</v>
      </c>
      <c r="Q15" s="5">
        <v>18.071999999999999</v>
      </c>
      <c r="R15" s="5">
        <v>18.170000000000002</v>
      </c>
      <c r="S15" s="5">
        <v>18.268000000000001</v>
      </c>
      <c r="T15" s="5">
        <v>18.363</v>
      </c>
      <c r="U15" s="5">
        <v>18.541</v>
      </c>
      <c r="V15" s="5">
        <v>18.707000000000001</v>
      </c>
    </row>
    <row r="16" spans="1:22" x14ac:dyDescent="0.3">
      <c r="A16" s="3" t="s">
        <v>35</v>
      </c>
      <c r="B16" s="4">
        <v>45334</v>
      </c>
      <c r="C16" s="5">
        <v>293.50700000000001</v>
      </c>
      <c r="D16" s="5">
        <v>39.734999999999999</v>
      </c>
      <c r="E16" s="5">
        <v>35.956000000000003</v>
      </c>
      <c r="F16" s="5">
        <v>32.42</v>
      </c>
      <c r="G16" s="5">
        <v>30.706</v>
      </c>
      <c r="H16" s="5">
        <v>29.010999999999999</v>
      </c>
      <c r="I16" s="5">
        <v>27.323</v>
      </c>
      <c r="J16" s="5">
        <v>25.63</v>
      </c>
      <c r="K16" s="5">
        <v>23.917999999999999</v>
      </c>
      <c r="L16" s="5">
        <v>23.050999999999998</v>
      </c>
      <c r="M16" s="5">
        <v>22.172999999999998</v>
      </c>
      <c r="N16" s="5">
        <v>21.280999999999999</v>
      </c>
      <c r="O16" s="5">
        <v>20.373999999999999</v>
      </c>
      <c r="P16" s="5">
        <v>18.498999999999999</v>
      </c>
      <c r="Q16" s="5">
        <v>18.010000000000002</v>
      </c>
      <c r="R16" s="5">
        <v>18.076000000000001</v>
      </c>
      <c r="S16" s="5">
        <v>18.166</v>
      </c>
      <c r="T16" s="5">
        <v>18.254000000000001</v>
      </c>
      <c r="U16" s="5">
        <v>18.420000000000002</v>
      </c>
      <c r="V16" s="5">
        <v>18.573</v>
      </c>
    </row>
    <row r="17" spans="1:22" x14ac:dyDescent="0.3">
      <c r="A17" s="3" t="s">
        <v>36</v>
      </c>
      <c r="B17" s="4">
        <v>45362</v>
      </c>
      <c r="C17" s="5">
        <v>294.51900000000001</v>
      </c>
      <c r="D17" s="5">
        <v>39.491</v>
      </c>
      <c r="E17" s="5">
        <v>35.756999999999998</v>
      </c>
      <c r="F17" s="5">
        <v>32.265000000000001</v>
      </c>
      <c r="G17" s="5">
        <v>30.573</v>
      </c>
      <c r="H17" s="5">
        <v>28.901</v>
      </c>
      <c r="I17" s="5">
        <v>27.236999999999998</v>
      </c>
      <c r="J17" s="5">
        <v>25.568999999999999</v>
      </c>
      <c r="K17" s="5">
        <v>23.884</v>
      </c>
      <c r="L17" s="5">
        <v>23.030999999999999</v>
      </c>
      <c r="M17" s="5">
        <v>22.167999999999999</v>
      </c>
      <c r="N17" s="5">
        <v>21.292999999999999</v>
      </c>
      <c r="O17" s="5">
        <v>20.402999999999999</v>
      </c>
      <c r="P17" s="5">
        <v>18.565999999999999</v>
      </c>
      <c r="Q17" s="5">
        <v>17.939</v>
      </c>
      <c r="R17" s="5">
        <v>17.972999999999999</v>
      </c>
      <c r="S17" s="5">
        <v>18.062999999999999</v>
      </c>
      <c r="T17" s="5">
        <v>18.151</v>
      </c>
      <c r="U17" s="5">
        <v>18.318999999999999</v>
      </c>
      <c r="V17" s="5">
        <v>18.474</v>
      </c>
    </row>
    <row r="18" spans="1:22" x14ac:dyDescent="0.3">
      <c r="A18" s="3" t="s">
        <v>37</v>
      </c>
      <c r="B18" s="4">
        <v>45392</v>
      </c>
      <c r="C18" s="5">
        <v>295.584</v>
      </c>
      <c r="D18" s="5">
        <v>39.259</v>
      </c>
      <c r="E18" s="5">
        <v>35.567</v>
      </c>
      <c r="F18" s="5">
        <v>32.116999999999997</v>
      </c>
      <c r="G18" s="5">
        <v>30.446000000000002</v>
      </c>
      <c r="H18" s="5">
        <v>28.795999999999999</v>
      </c>
      <c r="I18" s="5">
        <v>27.155000000000001</v>
      </c>
      <c r="J18" s="5">
        <v>25.51</v>
      </c>
      <c r="K18" s="5">
        <v>23.850999999999999</v>
      </c>
      <c r="L18" s="5">
        <v>23.012</v>
      </c>
      <c r="M18" s="5">
        <v>22.163</v>
      </c>
      <c r="N18" s="5">
        <v>21.303000000000001</v>
      </c>
      <c r="O18" s="5">
        <v>20.428999999999998</v>
      </c>
      <c r="P18" s="5">
        <v>18.63</v>
      </c>
      <c r="Q18" s="5">
        <v>17.870999999999999</v>
      </c>
      <c r="R18" s="5">
        <v>17.875</v>
      </c>
      <c r="S18" s="5">
        <v>17.963999999999999</v>
      </c>
      <c r="T18" s="5">
        <v>18.053000000000001</v>
      </c>
      <c r="U18" s="5">
        <v>18.222000000000001</v>
      </c>
      <c r="V18" s="5">
        <v>18.379000000000001</v>
      </c>
    </row>
    <row r="19" spans="1:22" x14ac:dyDescent="0.3">
      <c r="A19" s="3" t="s">
        <v>38</v>
      </c>
      <c r="B19" s="4">
        <v>45422</v>
      </c>
      <c r="C19" s="5">
        <v>296.63200000000001</v>
      </c>
      <c r="D19" s="5">
        <v>39.049999999999997</v>
      </c>
      <c r="E19" s="5">
        <v>35.396999999999998</v>
      </c>
      <c r="F19" s="5">
        <v>31.984000000000002</v>
      </c>
      <c r="G19" s="5">
        <v>30.332999999999998</v>
      </c>
      <c r="H19" s="5">
        <v>28.702000000000002</v>
      </c>
      <c r="I19" s="5">
        <v>27.081</v>
      </c>
      <c r="J19" s="5">
        <v>25.459</v>
      </c>
      <c r="K19" s="5">
        <v>23.823</v>
      </c>
      <c r="L19" s="5">
        <v>22.995000000000001</v>
      </c>
      <c r="M19" s="5">
        <v>22.158999999999999</v>
      </c>
      <c r="N19" s="5">
        <v>21.312999999999999</v>
      </c>
      <c r="O19" s="5">
        <v>20.452999999999999</v>
      </c>
      <c r="P19" s="5">
        <v>18.686</v>
      </c>
      <c r="Q19" s="5">
        <v>17.811</v>
      </c>
      <c r="R19" s="5">
        <v>17.786000000000001</v>
      </c>
      <c r="S19" s="5">
        <v>17.875</v>
      </c>
      <c r="T19" s="5">
        <v>17.965</v>
      </c>
      <c r="U19" s="5">
        <v>18.135999999999999</v>
      </c>
      <c r="V19" s="5">
        <v>18.294</v>
      </c>
    </row>
    <row r="20" spans="1:22" x14ac:dyDescent="0.3">
      <c r="A20" s="3" t="s">
        <v>39</v>
      </c>
      <c r="B20" s="4">
        <v>45453</v>
      </c>
      <c r="C20" s="5">
        <v>297.697</v>
      </c>
      <c r="D20" s="5">
        <v>38.856000000000002</v>
      </c>
      <c r="E20" s="5">
        <v>35.238999999999997</v>
      </c>
      <c r="F20" s="5">
        <v>31.861000000000001</v>
      </c>
      <c r="G20" s="5">
        <v>30.228000000000002</v>
      </c>
      <c r="H20" s="5">
        <v>28.614999999999998</v>
      </c>
      <c r="I20" s="5">
        <v>27.013000000000002</v>
      </c>
      <c r="J20" s="5">
        <v>25.411000000000001</v>
      </c>
      <c r="K20" s="5">
        <v>23.795999999999999</v>
      </c>
      <c r="L20" s="5">
        <v>22.98</v>
      </c>
      <c r="M20" s="5">
        <v>22.155999999999999</v>
      </c>
      <c r="N20" s="5">
        <v>21.321999999999999</v>
      </c>
      <c r="O20" s="5">
        <v>20.475000000000001</v>
      </c>
      <c r="P20" s="5">
        <v>18.738</v>
      </c>
      <c r="Q20" s="5">
        <v>17.754000000000001</v>
      </c>
      <c r="R20" s="5">
        <v>17.704999999999998</v>
      </c>
      <c r="S20" s="5">
        <v>17.792999999999999</v>
      </c>
      <c r="T20" s="5">
        <v>17.882999999999999</v>
      </c>
      <c r="U20" s="5">
        <v>18.055</v>
      </c>
      <c r="V20" s="5">
        <v>18.215</v>
      </c>
    </row>
    <row r="21" spans="1:22" x14ac:dyDescent="0.3">
      <c r="A21" s="3" t="s">
        <v>40</v>
      </c>
      <c r="B21" s="4">
        <v>45483</v>
      </c>
      <c r="C21" s="5">
        <v>298.71199999999999</v>
      </c>
      <c r="D21" s="5">
        <v>38.686999999999998</v>
      </c>
      <c r="E21" s="5">
        <v>35.1</v>
      </c>
      <c r="F21" s="5">
        <v>31.754000000000001</v>
      </c>
      <c r="G21" s="5">
        <v>30.135999999999999</v>
      </c>
      <c r="H21" s="5">
        <v>28.539000000000001</v>
      </c>
      <c r="I21" s="5">
        <v>26.954000000000001</v>
      </c>
      <c r="J21" s="5">
        <v>25.369</v>
      </c>
      <c r="K21" s="5">
        <v>23.771999999999998</v>
      </c>
      <c r="L21" s="5">
        <v>22.966000000000001</v>
      </c>
      <c r="M21" s="5">
        <v>22.152000000000001</v>
      </c>
      <c r="N21" s="5">
        <v>21.329000000000001</v>
      </c>
      <c r="O21" s="5">
        <v>20.494</v>
      </c>
      <c r="P21" s="5">
        <v>18.783000000000001</v>
      </c>
      <c r="Q21" s="5">
        <v>17.704999999999998</v>
      </c>
      <c r="R21" s="5">
        <v>17.632999999999999</v>
      </c>
      <c r="S21" s="5">
        <v>17.721</v>
      </c>
      <c r="T21" s="5">
        <v>17.811</v>
      </c>
      <c r="U21" s="5">
        <v>17.984999999999999</v>
      </c>
      <c r="V21" s="5">
        <v>18.146000000000001</v>
      </c>
    </row>
    <row r="22" spans="1:22" x14ac:dyDescent="0.3">
      <c r="A22" s="3" t="s">
        <v>41</v>
      </c>
      <c r="B22" s="4">
        <v>45516</v>
      </c>
      <c r="C22" s="5">
        <v>299.81099999999998</v>
      </c>
      <c r="D22" s="5">
        <v>38.518000000000001</v>
      </c>
      <c r="E22" s="5">
        <v>34.963000000000001</v>
      </c>
      <c r="F22" s="5">
        <v>31.646999999999998</v>
      </c>
      <c r="G22" s="5">
        <v>30.044</v>
      </c>
      <c r="H22" s="5">
        <v>28.463999999999999</v>
      </c>
      <c r="I22" s="5">
        <v>26.895</v>
      </c>
      <c r="J22" s="5">
        <v>25.327000000000002</v>
      </c>
      <c r="K22" s="5">
        <v>23.748999999999999</v>
      </c>
      <c r="L22" s="5">
        <v>22.952999999999999</v>
      </c>
      <c r="M22" s="5">
        <v>22.149000000000001</v>
      </c>
      <c r="N22" s="5">
        <v>21.337</v>
      </c>
      <c r="O22" s="5">
        <v>20.513000000000002</v>
      </c>
      <c r="P22" s="5">
        <v>18.827999999999999</v>
      </c>
      <c r="Q22" s="5">
        <v>17.657</v>
      </c>
      <c r="R22" s="5">
        <v>17.562000000000001</v>
      </c>
      <c r="S22" s="5">
        <v>17.649000000000001</v>
      </c>
      <c r="T22" s="5">
        <v>17.739999999999998</v>
      </c>
      <c r="U22" s="5">
        <v>17.914999999999999</v>
      </c>
      <c r="V22" s="5">
        <v>18.077999999999999</v>
      </c>
    </row>
    <row r="23" spans="1:22" x14ac:dyDescent="0.3">
      <c r="A23" s="3" t="s">
        <v>42</v>
      </c>
      <c r="B23" s="4">
        <v>45545</v>
      </c>
      <c r="C23" s="5">
        <v>300.76400000000001</v>
      </c>
      <c r="D23" s="5">
        <v>38.383000000000003</v>
      </c>
      <c r="E23" s="5">
        <v>34.853000000000002</v>
      </c>
      <c r="F23" s="5">
        <v>31.561</v>
      </c>
      <c r="G23" s="5">
        <v>29.971</v>
      </c>
      <c r="H23" s="5">
        <v>28.404</v>
      </c>
      <c r="I23" s="5">
        <v>26.847999999999999</v>
      </c>
      <c r="J23" s="5">
        <v>25.294</v>
      </c>
      <c r="K23" s="5">
        <v>23.731000000000002</v>
      </c>
      <c r="L23" s="5">
        <v>22.942</v>
      </c>
      <c r="M23" s="5">
        <v>22.146999999999998</v>
      </c>
      <c r="N23" s="5">
        <v>21.343</v>
      </c>
      <c r="O23" s="5">
        <v>20.529</v>
      </c>
      <c r="P23" s="5">
        <v>18.864000000000001</v>
      </c>
      <c r="Q23" s="5">
        <v>17.617000000000001</v>
      </c>
      <c r="R23" s="5">
        <v>17.504999999999999</v>
      </c>
      <c r="S23" s="5">
        <v>17.591000000000001</v>
      </c>
      <c r="T23" s="5">
        <v>17.683</v>
      </c>
      <c r="U23" s="5">
        <v>17.859000000000002</v>
      </c>
      <c r="V23" s="5">
        <v>18.023</v>
      </c>
    </row>
    <row r="24" spans="1:22" x14ac:dyDescent="0.3">
      <c r="A24" s="3" t="s">
        <v>43</v>
      </c>
      <c r="B24" s="4">
        <v>45575</v>
      </c>
      <c r="C24" s="5">
        <v>301.73700000000002</v>
      </c>
      <c r="D24" s="5">
        <v>38.253999999999998</v>
      </c>
      <c r="E24" s="5">
        <v>34.747999999999998</v>
      </c>
      <c r="F24" s="5">
        <v>31.48</v>
      </c>
      <c r="G24" s="5">
        <v>29.902000000000001</v>
      </c>
      <c r="H24" s="5">
        <v>28.346</v>
      </c>
      <c r="I24" s="5">
        <v>26.803000000000001</v>
      </c>
      <c r="J24" s="5">
        <v>25.262</v>
      </c>
      <c r="K24" s="5">
        <v>23.713000000000001</v>
      </c>
      <c r="L24" s="5">
        <v>22.931999999999999</v>
      </c>
      <c r="M24" s="5">
        <v>22.143999999999998</v>
      </c>
      <c r="N24" s="5">
        <v>21.347999999999999</v>
      </c>
      <c r="O24" s="5">
        <v>20.542999999999999</v>
      </c>
      <c r="P24" s="5">
        <v>18.896999999999998</v>
      </c>
      <c r="Q24" s="5">
        <v>17.579999999999998</v>
      </c>
      <c r="R24" s="5">
        <v>17.451000000000001</v>
      </c>
      <c r="S24" s="5">
        <v>17.536999999999999</v>
      </c>
      <c r="T24" s="5">
        <v>17.628</v>
      </c>
      <c r="U24" s="5">
        <v>17.805</v>
      </c>
      <c r="V24" s="5">
        <v>17.971</v>
      </c>
    </row>
    <row r="25" spans="1:22" x14ac:dyDescent="0.3">
      <c r="A25" s="3" t="s">
        <v>44</v>
      </c>
      <c r="B25" s="4">
        <v>45608</v>
      </c>
      <c r="C25" s="5">
        <v>302.79500000000002</v>
      </c>
      <c r="D25" s="5">
        <v>38.125</v>
      </c>
      <c r="E25" s="5">
        <v>34.642000000000003</v>
      </c>
      <c r="F25" s="5">
        <v>31.398</v>
      </c>
      <c r="G25" s="5">
        <v>29.832000000000001</v>
      </c>
      <c r="H25" s="5">
        <v>28.289000000000001</v>
      </c>
      <c r="I25" s="5">
        <v>26.757999999999999</v>
      </c>
      <c r="J25" s="5">
        <v>25.231000000000002</v>
      </c>
      <c r="K25" s="5">
        <v>23.696000000000002</v>
      </c>
      <c r="L25" s="5">
        <v>22.922000000000001</v>
      </c>
      <c r="M25" s="5">
        <v>22.141999999999999</v>
      </c>
      <c r="N25" s="5">
        <v>21.353999999999999</v>
      </c>
      <c r="O25" s="5">
        <v>20.556999999999999</v>
      </c>
      <c r="P25" s="5">
        <v>18.931000000000001</v>
      </c>
      <c r="Q25" s="5">
        <v>17.542999999999999</v>
      </c>
      <c r="R25" s="5">
        <v>17.396000000000001</v>
      </c>
      <c r="S25" s="5">
        <v>17.481999999999999</v>
      </c>
      <c r="T25" s="5">
        <v>17.574000000000002</v>
      </c>
      <c r="U25" s="5">
        <v>17.751999999999999</v>
      </c>
      <c r="V25" s="5">
        <v>17.917999999999999</v>
      </c>
    </row>
  </sheetData>
  <phoneticPr fontId="3" type="noConversion"/>
  <pageMargins left="0.5" right="0.5" top="1" bottom="1" header="0.5" footer="0.75"/>
  <pageSetup fitToHeight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C299E-EDB1-4A50-993F-02B8D6F5F176}">
  <sheetPr codeName="Sheet2">
    <tabColor theme="8" tint="-0.499984740745262"/>
  </sheetPr>
  <dimension ref="A1:H26"/>
  <sheetViews>
    <sheetView tabSelected="1" workbookViewId="0">
      <selection activeCell="D8" sqref="D8"/>
    </sheetView>
  </sheetViews>
  <sheetFormatPr defaultRowHeight="14.4" x14ac:dyDescent="0.3"/>
  <cols>
    <col min="1" max="2" width="19.44140625" customWidth="1"/>
    <col min="4" max="4" width="11.77734375" customWidth="1"/>
    <col min="5" max="5" width="11.21875" bestFit="1" customWidth="1"/>
    <col min="7" max="7" width="20.33203125" customWidth="1"/>
  </cols>
  <sheetData>
    <row r="1" spans="1:8" x14ac:dyDescent="0.3">
      <c r="A1" t="s">
        <v>46</v>
      </c>
      <c r="B1" t="s">
        <v>47</v>
      </c>
      <c r="C1" t="s">
        <v>48</v>
      </c>
      <c r="E1" s="6">
        <f>DATE(2022,11,10)</f>
        <v>44875</v>
      </c>
      <c r="G1" t="s">
        <v>49</v>
      </c>
      <c r="H1" s="9">
        <v>2.1600000000000001E-2</v>
      </c>
    </row>
    <row r="2" spans="1:8" x14ac:dyDescent="0.3">
      <c r="A2" s="7">
        <v>44879</v>
      </c>
      <c r="B2" s="8">
        <f>YEARFRAC($E$1,$A2,3)</f>
        <v>1.0958904109589041E-2</v>
      </c>
      <c r="C2" s="8">
        <v>3.9007999999999998</v>
      </c>
      <c r="D2" s="7"/>
    </row>
    <row r="3" spans="1:8" x14ac:dyDescent="0.3">
      <c r="A3" s="7">
        <v>44880</v>
      </c>
      <c r="B3" s="8">
        <f t="shared" ref="B3:B26" si="0">YEARFRAC($E$1,$A3,3)</f>
        <v>1.3698630136986301E-2</v>
      </c>
      <c r="C3" s="8">
        <v>3.9009</v>
      </c>
      <c r="D3" s="7"/>
    </row>
    <row r="4" spans="1:8" x14ac:dyDescent="0.3">
      <c r="A4" s="7">
        <v>44887</v>
      </c>
      <c r="B4" s="8">
        <f t="shared" si="0"/>
        <v>3.287671232876712E-2</v>
      </c>
      <c r="C4" s="8">
        <v>4.1708999999999996</v>
      </c>
      <c r="D4" s="7"/>
    </row>
    <row r="5" spans="1:8" x14ac:dyDescent="0.3">
      <c r="A5" s="7">
        <v>44910</v>
      </c>
      <c r="B5" s="8">
        <f t="shared" si="0"/>
        <v>9.5890410958904104E-2</v>
      </c>
      <c r="C5" s="8">
        <v>4.4001999999999999</v>
      </c>
      <c r="D5" s="7"/>
    </row>
    <row r="6" spans="1:8" x14ac:dyDescent="0.3">
      <c r="A6" s="7">
        <v>44943</v>
      </c>
      <c r="B6" s="8">
        <f t="shared" si="0"/>
        <v>0.18630136986301371</v>
      </c>
      <c r="C6" s="8">
        <v>4.5918999999999999</v>
      </c>
      <c r="D6" s="7"/>
    </row>
    <row r="7" spans="1:8" x14ac:dyDescent="0.3">
      <c r="A7" s="7">
        <v>44972</v>
      </c>
      <c r="B7" s="8">
        <f t="shared" si="0"/>
        <v>0.26575342465753427</v>
      </c>
      <c r="C7" s="8">
        <v>4.7369000000000003</v>
      </c>
      <c r="D7" s="7"/>
    </row>
    <row r="8" spans="1:8" x14ac:dyDescent="0.3">
      <c r="A8" s="7">
        <v>45061</v>
      </c>
      <c r="B8" s="8">
        <f t="shared" si="0"/>
        <v>0.50958904109589043</v>
      </c>
      <c r="C8" s="8">
        <v>4.9915000000000003</v>
      </c>
      <c r="D8" s="7"/>
    </row>
    <row r="9" spans="1:8" x14ac:dyDescent="0.3">
      <c r="A9" s="7">
        <v>45153</v>
      </c>
      <c r="B9" s="8">
        <f t="shared" si="0"/>
        <v>0.76164383561643834</v>
      </c>
      <c r="C9" s="8">
        <v>5.1078000000000001</v>
      </c>
      <c r="D9" s="7"/>
    </row>
    <row r="10" spans="1:8" x14ac:dyDescent="0.3">
      <c r="A10" s="7">
        <v>45245</v>
      </c>
      <c r="B10" s="8">
        <f t="shared" si="0"/>
        <v>1.0136986301369864</v>
      </c>
      <c r="C10" s="8">
        <v>5.1106999999999996</v>
      </c>
      <c r="D10" s="7"/>
    </row>
    <row r="11" spans="1:8" x14ac:dyDescent="0.3">
      <c r="A11" s="7">
        <v>45611</v>
      </c>
      <c r="B11" s="8">
        <f t="shared" si="0"/>
        <v>2.0164383561643837</v>
      </c>
      <c r="C11" s="8">
        <v>4.7477</v>
      </c>
      <c r="D11" s="7"/>
    </row>
    <row r="12" spans="1:8" x14ac:dyDescent="0.3">
      <c r="A12" s="7">
        <v>45978</v>
      </c>
      <c r="B12" s="8">
        <f t="shared" si="0"/>
        <v>3.021917808219178</v>
      </c>
      <c r="C12" s="8">
        <v>4.3868</v>
      </c>
      <c r="D12" s="7"/>
    </row>
    <row r="13" spans="1:8" x14ac:dyDescent="0.3">
      <c r="A13" s="7">
        <v>46342</v>
      </c>
      <c r="B13" s="8">
        <f t="shared" si="0"/>
        <v>4.0191780821917806</v>
      </c>
      <c r="C13" s="8">
        <v>4.1622000000000003</v>
      </c>
      <c r="D13" s="7"/>
    </row>
    <row r="14" spans="1:8" x14ac:dyDescent="0.3">
      <c r="A14" s="7">
        <v>46706</v>
      </c>
      <c r="B14" s="8">
        <f t="shared" si="0"/>
        <v>5.0164383561643833</v>
      </c>
      <c r="C14" s="8">
        <v>4.03</v>
      </c>
      <c r="D14" s="7"/>
    </row>
    <row r="15" spans="1:8" x14ac:dyDescent="0.3">
      <c r="A15" s="7">
        <v>47072</v>
      </c>
      <c r="B15" s="8">
        <f t="shared" si="0"/>
        <v>6.0191780821917806</v>
      </c>
      <c r="C15" s="8">
        <v>3.9485999999999999</v>
      </c>
      <c r="D15" s="7"/>
    </row>
    <row r="16" spans="1:8" x14ac:dyDescent="0.3">
      <c r="A16" s="7">
        <v>47437</v>
      </c>
      <c r="B16" s="8">
        <f t="shared" si="0"/>
        <v>7.0191780821917806</v>
      </c>
      <c r="C16" s="8">
        <v>3.8946000000000001</v>
      </c>
      <c r="D16" s="7"/>
    </row>
    <row r="17" spans="1:4" x14ac:dyDescent="0.3">
      <c r="A17" s="7">
        <v>47802</v>
      </c>
      <c r="B17" s="8">
        <f t="shared" si="0"/>
        <v>8.0191780821917806</v>
      </c>
      <c r="C17" s="8">
        <v>3.8593000000000002</v>
      </c>
      <c r="D17" s="7"/>
    </row>
    <row r="18" spans="1:4" x14ac:dyDescent="0.3">
      <c r="A18" s="7">
        <v>48169</v>
      </c>
      <c r="B18" s="8">
        <f t="shared" si="0"/>
        <v>9.0246575342465754</v>
      </c>
      <c r="C18" s="8">
        <v>3.8439999999999999</v>
      </c>
      <c r="D18" s="7"/>
    </row>
    <row r="19" spans="1:4" x14ac:dyDescent="0.3">
      <c r="A19" s="7">
        <v>48533</v>
      </c>
      <c r="B19" s="8">
        <f t="shared" si="0"/>
        <v>10.021917808219179</v>
      </c>
      <c r="C19" s="8">
        <v>3.8451</v>
      </c>
      <c r="D19" s="7"/>
    </row>
    <row r="20" spans="1:4" x14ac:dyDescent="0.3">
      <c r="A20" s="7">
        <v>49263</v>
      </c>
      <c r="B20" s="8">
        <f t="shared" si="0"/>
        <v>12.021917808219179</v>
      </c>
      <c r="C20" s="8">
        <v>3.8622000000000001</v>
      </c>
      <c r="D20" s="7"/>
    </row>
    <row r="21" spans="1:4" x14ac:dyDescent="0.3">
      <c r="A21" s="7">
        <v>50360</v>
      </c>
      <c r="B21" s="8">
        <f t="shared" si="0"/>
        <v>15.027397260273972</v>
      </c>
      <c r="C21" s="8">
        <v>3.8894000000000002</v>
      </c>
      <c r="D21" s="7"/>
    </row>
    <row r="22" spans="1:4" x14ac:dyDescent="0.3">
      <c r="A22" s="7">
        <v>52187</v>
      </c>
      <c r="B22" s="8">
        <f t="shared" si="0"/>
        <v>20.032876712328768</v>
      </c>
      <c r="C22" s="8">
        <v>3.8208000000000002</v>
      </c>
      <c r="D22" s="7"/>
    </row>
    <row r="23" spans="1:4" x14ac:dyDescent="0.3">
      <c r="A23" s="7">
        <v>54011</v>
      </c>
      <c r="B23" s="8">
        <f t="shared" si="0"/>
        <v>25.030136986301368</v>
      </c>
      <c r="C23" s="8">
        <v>3.6480999999999999</v>
      </c>
      <c r="D23" s="7"/>
    </row>
    <row r="24" spans="1:4" x14ac:dyDescent="0.3">
      <c r="A24" s="7">
        <v>55838</v>
      </c>
      <c r="B24" s="8">
        <f t="shared" si="0"/>
        <v>30.035616438356165</v>
      </c>
      <c r="C24" s="8">
        <v>3.4790999999999999</v>
      </c>
      <c r="D24" s="7"/>
    </row>
    <row r="25" spans="1:4" x14ac:dyDescent="0.3">
      <c r="A25" s="7">
        <v>59490</v>
      </c>
      <c r="B25" s="8">
        <f t="shared" si="0"/>
        <v>40.041095890410958</v>
      </c>
      <c r="C25" s="8">
        <v>3.1002999999999998</v>
      </c>
      <c r="D25" s="7"/>
    </row>
    <row r="26" spans="1:4" x14ac:dyDescent="0.3">
      <c r="A26" s="7">
        <v>63143</v>
      </c>
      <c r="B26" s="8">
        <f t="shared" si="0"/>
        <v>50.049315068493151</v>
      </c>
      <c r="C26" s="8">
        <v>2.7440000000000002</v>
      </c>
      <c r="D26" s="7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6C15-C604-4C37-BD58-76D6A52DF2EB}">
  <sheetPr codeName="Sheet3">
    <tabColor theme="6" tint="-0.249977111117893"/>
    <pageSetUpPr fitToPage="1"/>
  </sheetPr>
  <dimension ref="A1:X28"/>
  <sheetViews>
    <sheetView workbookViewId="0">
      <selection activeCell="G9" sqref="G9"/>
    </sheetView>
  </sheetViews>
  <sheetFormatPr defaultRowHeight="14.4" x14ac:dyDescent="0.3"/>
  <cols>
    <col min="1" max="1" width="5" customWidth="1"/>
    <col min="2" max="2" width="13.21875" customWidth="1"/>
    <col min="3" max="3" width="8.44140625" customWidth="1"/>
    <col min="4" max="5" width="9.109375" customWidth="1"/>
    <col min="6" max="24" width="7.6640625" customWidth="1"/>
  </cols>
  <sheetData>
    <row r="1" spans="1:24" x14ac:dyDescent="0.3">
      <c r="A1" s="1" t="s">
        <v>0</v>
      </c>
      <c r="B1" s="1" t="s">
        <v>1</v>
      </c>
      <c r="C1" s="1" t="s">
        <v>47</v>
      </c>
      <c r="D1" s="2" t="s">
        <v>2</v>
      </c>
      <c r="E1" s="2" t="s">
        <v>50</v>
      </c>
      <c r="F1" s="2" t="str">
        <f>'Volatility table'!D1</f>
        <v>137.94</v>
      </c>
      <c r="G1" s="2" t="str">
        <f>'Volatility table'!E1</f>
        <v>165.53</v>
      </c>
      <c r="H1" s="2" t="str">
        <f>'Volatility table'!F1</f>
        <v>193.12</v>
      </c>
      <c r="I1" s="2" t="str">
        <f>'Volatility table'!G1</f>
        <v>206.91</v>
      </c>
      <c r="J1" s="2" t="str">
        <f>'Volatility table'!H1</f>
        <v>220.70</v>
      </c>
      <c r="K1" s="2" t="str">
        <f>'Volatility table'!I1</f>
        <v>234.50</v>
      </c>
      <c r="L1" s="2" t="str">
        <f>'Volatility table'!J1</f>
        <v>248.29</v>
      </c>
      <c r="M1" s="2" t="str">
        <f>'Volatility table'!K1</f>
        <v>262.09</v>
      </c>
      <c r="N1" s="2" t="str">
        <f>'Volatility table'!L1</f>
        <v>268.98</v>
      </c>
      <c r="O1" s="15">
        <v>275.88</v>
      </c>
      <c r="P1" s="2" t="str">
        <f>'Volatility table'!N1</f>
        <v>282.78</v>
      </c>
      <c r="Q1" s="2" t="str">
        <f>'Volatility table'!O1</f>
        <v>289.67</v>
      </c>
      <c r="R1" s="2" t="str">
        <f>'Volatility table'!P1</f>
        <v>303.47</v>
      </c>
      <c r="S1" s="2" t="str">
        <f>'Volatility table'!Q1</f>
        <v>317.26</v>
      </c>
      <c r="T1" s="2" t="str">
        <f>'Volatility table'!R1</f>
        <v>331.06</v>
      </c>
      <c r="U1" s="2" t="str">
        <f>'Volatility table'!S1</f>
        <v>344.85</v>
      </c>
      <c r="V1" s="2" t="str">
        <f>'Volatility table'!T1</f>
        <v>358.64</v>
      </c>
      <c r="W1" s="2" t="str">
        <f>'Volatility table'!U1</f>
        <v>386.23</v>
      </c>
      <c r="X1" s="2" t="str">
        <f>'Volatility table'!V1</f>
        <v>413.82</v>
      </c>
    </row>
    <row r="2" spans="1:24" x14ac:dyDescent="0.3">
      <c r="A2" s="3" t="s">
        <v>21</v>
      </c>
      <c r="B2" s="4">
        <f>'Volatility table'!B2</f>
        <v>44907</v>
      </c>
      <c r="C2" s="10">
        <f>YEARFRAC(RF!$E$1,$B2,3)</f>
        <v>8.7671232876712329E-2</v>
      </c>
      <c r="D2" s="5">
        <f>'Volatility table'!C2</f>
        <v>276.92</v>
      </c>
      <c r="E2" s="11">
        <f>($D2/$O$1)^(1/$C2)-1</f>
        <v>4.3852215371709358E-2</v>
      </c>
      <c r="F2" s="5">
        <f>BlackScholesCall($O$1,F$1,$C2,$E2,'Volatility table'!D2/100)</f>
        <v>138.47325895180879</v>
      </c>
      <c r="G2" s="5">
        <f>BlackScholesCall($O$1,G$1,$C2,$E2,'Volatility table'!E2/100)</f>
        <v>111.004164364659</v>
      </c>
      <c r="H2" s="5">
        <f>BlackScholesCall($O$1,H$1,$C2,$E2,'Volatility table'!F2/100)</f>
        <v>83.573836756729122</v>
      </c>
      <c r="I2" s="5">
        <f>BlackScholesCall($O$1,I$1,$C2,$E2,'Volatility table'!G2/100)</f>
        <v>69.898383523336406</v>
      </c>
      <c r="J2" s="5">
        <f>BlackScholesCall($O$1,J$1,$C2,$E2,'Volatility table'!H2/100)</f>
        <v>56.270032026551235</v>
      </c>
      <c r="K2" s="5">
        <f>BlackScholesCall($O$1,K$1,$C2,$E2,'Volatility table'!I2/100)</f>
        <v>42.723612973137563</v>
      </c>
      <c r="L2" s="5">
        <f>BlackScholesCall($O$1,L$1,$C2,$E2,'Volatility table'!J2/100)</f>
        <v>29.413827035663275</v>
      </c>
      <c r="M2" s="5">
        <f>BlackScholesCall($O$1,M$1,$C2,$E2,'Volatility table'!K2/100)</f>
        <v>16.855469984175357</v>
      </c>
      <c r="N2" s="5">
        <f>BlackScholesCall($O$1,N$1,$C2,$E2,'Volatility table'!L2/100)</f>
        <v>11.351484061305769</v>
      </c>
      <c r="O2" s="5">
        <f>BlackScholesCall($O$1,O$1,$C2,$E2,'Volatility table'!M2/100)</f>
        <v>6.8229967544467627</v>
      </c>
      <c r="P2" s="5">
        <f>BlackScholesCall($O$1,P$1,$C2,$E2,'Volatility table'!N2/100)</f>
        <v>3.6326134978828435</v>
      </c>
      <c r="Q2" s="5">
        <f>BlackScholesCall($O$1,Q$1,$C2,$E2,'Volatility table'!O2/100)</f>
        <v>1.7594823217540636</v>
      </c>
      <c r="R2" s="5">
        <f>BlackScholesCall($O$1,R$1,$C2,$E2,'Volatility table'!P2/100)</f>
        <v>0.33618238394144306</v>
      </c>
      <c r="S2" s="5">
        <f>BlackScholesCall($O$1,S$1,$C2,$E2,'Volatility table'!Q2/100)</f>
        <v>5.7301021575621558E-2</v>
      </c>
      <c r="T2" s="5">
        <f>BlackScholesCall($O$1,T$1,$C2,$E2,'Volatility table'!R2/100)</f>
        <v>9.8063243415905665E-3</v>
      </c>
      <c r="U2" s="5">
        <f>BlackScholesCall($O$1,U$1,$C2,$E2,'Volatility table'!S2/100)</f>
        <v>1.7773183166230194E-3</v>
      </c>
      <c r="V2" s="5">
        <f>BlackScholesCall($O$1,V$1,$C2,$E2,'Volatility table'!T2/100)</f>
        <v>3.4629151949335663E-4</v>
      </c>
      <c r="W2" s="5">
        <f>BlackScholesCall($O$1,W$1,$C2,$E2,'Volatility table'!U2/100)</f>
        <v>1.626878993365782E-5</v>
      </c>
      <c r="X2" s="5">
        <f>BlackScholesCall($O$1,X$1,$C2,$E2,'Volatility table'!V2/100)</f>
        <v>9.8830045657335606E-7</v>
      </c>
    </row>
    <row r="3" spans="1:24" x14ac:dyDescent="0.3">
      <c r="A3" s="3" t="s">
        <v>22</v>
      </c>
      <c r="B3" s="4">
        <f>'Volatility table'!B3</f>
        <v>44936</v>
      </c>
      <c r="C3" s="10">
        <f>YEARFRAC(RF!$E$1,$B3,3)</f>
        <v>0.16712328767123288</v>
      </c>
      <c r="D3" s="5">
        <f>'Volatility table'!C3</f>
        <v>277.94</v>
      </c>
      <c r="E3" s="11">
        <f t="shared" ref="E3:E25" si="0">($D3/$O$1)^(1/$C3)-1</f>
        <v>4.5519291499255266E-2</v>
      </c>
      <c r="F3" s="5">
        <f>BlackScholesCall($O$1,F$1,$C3,$E3,'Volatility table'!D3/100)</f>
        <v>139.01101798349538</v>
      </c>
      <c r="G3" s="5">
        <f>BlackScholesCall($O$1,G$1,$C3,$E3,'Volatility table'!E3/100)</f>
        <v>111.69417446136001</v>
      </c>
      <c r="H3" s="5">
        <f>BlackScholesCall($O$1,H$1,$C3,$E3,'Volatility table'!F3/100)</f>
        <v>84.488794099060186</v>
      </c>
      <c r="I3" s="5">
        <f>BlackScholesCall($O$1,I$1,$C3,$E3,'Volatility table'!G3/100)</f>
        <v>70.975680595988393</v>
      </c>
      <c r="J3" s="5">
        <f>BlackScholesCall($O$1,J$1,$C3,$E3,'Volatility table'!H3/100)</f>
        <v>57.565114373396653</v>
      </c>
      <c r="K3" s="5">
        <f>BlackScholesCall($O$1,K$1,$C3,$E3,'Volatility table'!I3/100)</f>
        <v>44.32420470693603</v>
      </c>
      <c r="L3" s="5">
        <f>BlackScholesCall($O$1,L$1,$C3,$E3,'Volatility table'!J3/100)</f>
        <v>31.457001910382218</v>
      </c>
      <c r="M3" s="5">
        <f>BlackScholesCall($O$1,M$1,$C3,$E3,'Volatility table'!K3/100)</f>
        <v>19.470122631074815</v>
      </c>
      <c r="N3" s="5">
        <f>BlackScholesCall($O$1,N$1,$C3,$E3,'Volatility table'!L3/100)</f>
        <v>14.184552233680478</v>
      </c>
      <c r="O3" s="5">
        <f>BlackScholesCall($O$1,O$1,$C3,$E3,'Volatility table'!M3/100)</f>
        <v>9.6623281022287131</v>
      </c>
      <c r="P3" s="5">
        <f>BlackScholesCall($O$1,P$1,$C3,$E3,'Volatility table'!N3/100)</f>
        <v>6.11404373120115</v>
      </c>
      <c r="Q3" s="5">
        <f>BlackScholesCall($O$1,Q$1,$C3,$E3,'Volatility table'!O3/100)</f>
        <v>3.6017374192106075</v>
      </c>
      <c r="R3" s="5">
        <f>BlackScholesCall($O$1,R$1,$C3,$E3,'Volatility table'!P3/100)</f>
        <v>1.0552119251801315</v>
      </c>
      <c r="S3" s="5">
        <f>BlackScholesCall($O$1,S$1,$C3,$E3,'Volatility table'!Q3/100)</f>
        <v>0.27663661064646661</v>
      </c>
      <c r="T3" s="5">
        <f>BlackScholesCall($O$1,T$1,$C3,$E3,'Volatility table'!R3/100)</f>
        <v>7.1854816965889245E-2</v>
      </c>
      <c r="U3" s="5">
        <f>BlackScholesCall($O$1,U$1,$C3,$E3,'Volatility table'!S3/100)</f>
        <v>1.9520501179978944E-2</v>
      </c>
      <c r="V3" s="5">
        <f>BlackScholesCall($O$1,V$1,$C3,$E3,'Volatility table'!T3/100)</f>
        <v>5.6430875838473504E-3</v>
      </c>
      <c r="W3" s="5">
        <f>BlackScholesCall($O$1,W$1,$C3,$E3,'Volatility table'!U3/100)</f>
        <v>5.6644775644276377E-4</v>
      </c>
      <c r="X3" s="5">
        <f>BlackScholesCall($O$1,X$1,$C3,$E3,'Volatility table'!V3/100)</f>
        <v>7.0717882075543772E-5</v>
      </c>
    </row>
    <row r="4" spans="1:24" x14ac:dyDescent="0.3">
      <c r="A4" s="3" t="s">
        <v>23</v>
      </c>
      <c r="B4" s="4">
        <f>'Volatility table'!B4</f>
        <v>44967</v>
      </c>
      <c r="C4" s="10">
        <f>YEARFRAC(RF!$E$1,$B4,3)</f>
        <v>0.25205479452054796</v>
      </c>
      <c r="D4" s="5">
        <f>'Volatility table'!C4</f>
        <v>279.10199999999998</v>
      </c>
      <c r="E4" s="11">
        <f t="shared" si="0"/>
        <v>4.7144191834667115E-2</v>
      </c>
      <c r="F4" s="5">
        <f>BlackScholesCall($O$1,F$1,$C4,$E4,'Volatility table'!D4/100)</f>
        <v>139.63624306149862</v>
      </c>
      <c r="G4" s="5">
        <f>BlackScholesCall($O$1,G$1,$C4,$E4,'Volatility table'!E4/100)</f>
        <v>112.51072576908868</v>
      </c>
      <c r="H4" s="5">
        <f>BlackScholesCall($O$1,H$1,$C4,$E4,'Volatility table'!F4/100)</f>
        <v>85.589050017076147</v>
      </c>
      <c r="I4" s="5">
        <f>BlackScholesCall($O$1,I$1,$C4,$E4,'Volatility table'!G4/100)</f>
        <v>72.279023043029326</v>
      </c>
      <c r="J4" s="5">
        <f>BlackScholesCall($O$1,J$1,$C4,$E4,'Volatility table'!H4/100)</f>
        <v>59.137638048810373</v>
      </c>
      <c r="K4" s="5">
        <f>BlackScholesCall($O$1,K$1,$C4,$E4,'Volatility table'!I4/100)</f>
        <v>46.261061182678247</v>
      </c>
      <c r="L4" s="5">
        <f>BlackScholesCall($O$1,L$1,$C4,$E4,'Volatility table'!J4/100)</f>
        <v>33.877824857840579</v>
      </c>
      <c r="M4" s="5">
        <f>BlackScholesCall($O$1,M$1,$C4,$E4,'Volatility table'!K4/100)</f>
        <v>22.42525694091853</v>
      </c>
      <c r="N4" s="5">
        <f>BlackScholesCall($O$1,N$1,$C4,$E4,'Volatility table'!L4/100)</f>
        <v>17.316935228956027</v>
      </c>
      <c r="O4" s="5">
        <f>BlackScholesCall($O$1,O$1,$C4,$E4,'Volatility table'!M4/100)</f>
        <v>12.80239685434745</v>
      </c>
      <c r="P4" s="5">
        <f>BlackScholesCall($O$1,P$1,$C4,$E4,'Volatility table'!N4/100)</f>
        <v>9.0279851836135663</v>
      </c>
      <c r="Q4" s="5">
        <f>BlackScholesCall($O$1,Q$1,$C4,$E4,'Volatility table'!O4/100)</f>
        <v>6.0729115424101821</v>
      </c>
      <c r="R4" s="5">
        <f>BlackScholesCall($O$1,R$1,$C4,$E4,'Volatility table'!P4/100)</f>
        <v>2.4314289653755239</v>
      </c>
      <c r="S4" s="5">
        <f>BlackScholesCall($O$1,S$1,$C4,$E4,'Volatility table'!Q4/100)</f>
        <v>0.88752524242197595</v>
      </c>
      <c r="T4" s="5">
        <f>BlackScholesCall($O$1,T$1,$C4,$E4,'Volatility table'!R4/100)</f>
        <v>0.32066499476881205</v>
      </c>
      <c r="U4" s="5">
        <f>BlackScholesCall($O$1,U$1,$C4,$E4,'Volatility table'!S4/100)</f>
        <v>0.12092444358939902</v>
      </c>
      <c r="V4" s="5">
        <f>BlackScholesCall($O$1,V$1,$C4,$E4,'Volatility table'!T4/100)</f>
        <v>4.8413356524683371E-2</v>
      </c>
      <c r="W4" s="5">
        <f>BlackScholesCall($O$1,W$1,$C4,$E4,'Volatility table'!U4/100)</f>
        <v>9.2762239995392015E-3</v>
      </c>
      <c r="X4" s="5">
        <f>BlackScholesCall($O$1,X$1,$C4,$E4,'Volatility table'!V4/100)</f>
        <v>2.162678024360945E-3</v>
      </c>
    </row>
    <row r="5" spans="1:24" x14ac:dyDescent="0.3">
      <c r="A5" s="3" t="s">
        <v>24</v>
      </c>
      <c r="B5" s="4">
        <f>'Volatility table'!B5</f>
        <v>44995</v>
      </c>
      <c r="C5" s="10">
        <f>YEARFRAC(RF!$E$1,$B5,3)</f>
        <v>0.32876712328767121</v>
      </c>
      <c r="D5" s="5">
        <f>'Volatility table'!C5</f>
        <v>280.18599999999998</v>
      </c>
      <c r="E5" s="11">
        <f t="shared" si="0"/>
        <v>4.8235589033926107E-2</v>
      </c>
      <c r="F5" s="5">
        <f>BlackScholesCall($O$1,F$1,$C5,$E5,'Volatility table'!D5/100)</f>
        <v>140.23135406592397</v>
      </c>
      <c r="G5" s="5">
        <f>BlackScholesCall($O$1,G$1,$C5,$E5,'Volatility table'!E5/100)</f>
        <v>113.29754199195534</v>
      </c>
      <c r="H5" s="5">
        <f>BlackScholesCall($O$1,H$1,$C5,$E5,'Volatility table'!F5/100)</f>
        <v>86.654051047348389</v>
      </c>
      <c r="I5" s="5">
        <f>BlackScholesCall($O$1,I$1,$C5,$E5,'Volatility table'!G5/100)</f>
        <v>73.53575745831094</v>
      </c>
      <c r="J5" s="5">
        <f>BlackScholesCall($O$1,J$1,$C5,$E5,'Volatility table'!H5/100)</f>
        <v>60.636739403531891</v>
      </c>
      <c r="K5" s="5">
        <f>BlackScholesCall($O$1,K$1,$C5,$E5,'Volatility table'!I5/100)</f>
        <v>48.067796189078962</v>
      </c>
      <c r="L5" s="5">
        <f>BlackScholesCall($O$1,L$1,$C5,$E5,'Volatility table'!J5/100)</f>
        <v>36.055011276235888</v>
      </c>
      <c r="M5" s="5">
        <f>BlackScholesCall($O$1,M$1,$C5,$E5,'Volatility table'!K5/100)</f>
        <v>24.964912632139288</v>
      </c>
      <c r="N5" s="5">
        <f>BlackScholesCall($O$1,N$1,$C5,$E5,'Volatility table'!L5/100)</f>
        <v>19.966998819623967</v>
      </c>
      <c r="O5" s="5">
        <f>BlackScholesCall($O$1,O$1,$C5,$E5,'Volatility table'!M5/100)</f>
        <v>15.458156023586241</v>
      </c>
      <c r="P5" s="5">
        <f>BlackScholesCall($O$1,P$1,$C5,$E5,'Volatility table'!N5/100)</f>
        <v>11.550088498267385</v>
      </c>
      <c r="Q5" s="5">
        <f>BlackScholesCall($O$1,Q$1,$C5,$E5,'Volatility table'!O5/100)</f>
        <v>8.3227346955019499</v>
      </c>
      <c r="R5" s="5">
        <f>BlackScholesCall($O$1,R$1,$C5,$E5,'Volatility table'!P5/100)</f>
        <v>3.9127330262793194</v>
      </c>
      <c r="S5" s="5">
        <f>BlackScholesCall($O$1,S$1,$C5,$E5,'Volatility table'!Q5/100)</f>
        <v>1.6957506278257952</v>
      </c>
      <c r="T5" s="5">
        <f>BlackScholesCall($O$1,T$1,$C5,$E5,'Volatility table'!R5/100)</f>
        <v>0.72582017700855417</v>
      </c>
      <c r="U5" s="5">
        <f>BlackScholesCall($O$1,U$1,$C5,$E5,'Volatility table'!S5/100)</f>
        <v>0.3224609121218176</v>
      </c>
      <c r="V5" s="5">
        <f>BlackScholesCall($O$1,V$1,$C5,$E5,'Volatility table'!T5/100)</f>
        <v>0.15159659683523108</v>
      </c>
      <c r="W5" s="5">
        <f>BlackScholesCall($O$1,W$1,$C5,$E5,'Volatility table'!U5/100)</f>
        <v>3.9626792065960537E-2</v>
      </c>
      <c r="X5" s="5">
        <f>BlackScholesCall($O$1,X$1,$C5,$E5,'Volatility table'!V5/100)</f>
        <v>1.2426607789712163E-2</v>
      </c>
    </row>
    <row r="6" spans="1:24" x14ac:dyDescent="0.3">
      <c r="A6" s="3" t="s">
        <v>25</v>
      </c>
      <c r="B6" s="4">
        <f>'Volatility table'!B6</f>
        <v>45026</v>
      </c>
      <c r="C6" s="10">
        <f>YEARFRAC(RF!$E$1,$B6,3)</f>
        <v>0.41369863013698632</v>
      </c>
      <c r="D6" s="5">
        <f>'Volatility table'!C6</f>
        <v>281.40899999999999</v>
      </c>
      <c r="E6" s="11">
        <f t="shared" si="0"/>
        <v>4.9134147392287275E-2</v>
      </c>
      <c r="F6" s="5">
        <f>BlackScholesCall($O$1,F$1,$C6,$E6,'Volatility table'!D6/100)</f>
        <v>140.90835151082905</v>
      </c>
      <c r="G6" s="5">
        <f>BlackScholesCall($O$1,G$1,$C6,$E6,'Volatility table'!E6/100)</f>
        <v>114.19865579691199</v>
      </c>
      <c r="H6" s="5">
        <f>BlackScholesCall($O$1,H$1,$C6,$E6,'Volatility table'!F6/100)</f>
        <v>87.874290970366616</v>
      </c>
      <c r="I6" s="5">
        <f>BlackScholesCall($O$1,I$1,$C6,$E6,'Volatility table'!G6/100)</f>
        <v>74.966168852432077</v>
      </c>
      <c r="J6" s="5">
        <f>BlackScholesCall($O$1,J$1,$C6,$E6,'Volatility table'!H6/100)</f>
        <v>62.318442969041001</v>
      </c>
      <c r="K6" s="5">
        <f>BlackScholesCall($O$1,K$1,$C6,$E6,'Volatility table'!I6/100)</f>
        <v>50.038853575377004</v>
      </c>
      <c r="L6" s="5">
        <f>BlackScholesCall($O$1,L$1,$C6,$E6,'Volatility table'!J6/100)</f>
        <v>38.327960157499689</v>
      </c>
      <c r="M6" s="5">
        <f>BlackScholesCall($O$1,M$1,$C6,$E6,'Volatility table'!K6/100)</f>
        <v>27.469883455506192</v>
      </c>
      <c r="N6" s="5">
        <f>BlackScholesCall($O$1,N$1,$C6,$E6,'Volatility table'!L6/100)</f>
        <v>22.510198546947777</v>
      </c>
      <c r="O6" s="5">
        <f>BlackScholesCall($O$1,O$1,$C6,$E6,'Volatility table'!M6/100)</f>
        <v>17.952277873590873</v>
      </c>
      <c r="P6" s="5">
        <f>BlackScholesCall($O$1,P$1,$C6,$E6,'Volatility table'!N6/100)</f>
        <v>13.887418127463221</v>
      </c>
      <c r="Q6" s="5">
        <f>BlackScholesCall($O$1,Q$1,$C6,$E6,'Volatility table'!O6/100)</f>
        <v>10.401380512429242</v>
      </c>
      <c r="R6" s="5">
        <f>BlackScholesCall($O$1,R$1,$C6,$E6,'Volatility table'!P6/100)</f>
        <v>5.3561777128727357</v>
      </c>
      <c r="S6" s="5">
        <f>BlackScholesCall($O$1,S$1,$C6,$E6,'Volatility table'!Q6/100)</f>
        <v>2.6320569540173935</v>
      </c>
      <c r="T6" s="5">
        <f>BlackScholesCall($O$1,T$1,$C6,$E6,'Volatility table'!R6/100)</f>
        <v>1.3004856436427943</v>
      </c>
      <c r="U6" s="5">
        <f>BlackScholesCall($O$1,U$1,$C6,$E6,'Volatility table'!S6/100)</f>
        <v>0.65925938469456469</v>
      </c>
      <c r="V6" s="5">
        <f>BlackScholesCall($O$1,V$1,$C6,$E6,'Volatility table'!T6/100)</f>
        <v>0.34553339558135487</v>
      </c>
      <c r="W6" s="5">
        <f>BlackScholesCall($O$1,W$1,$C6,$E6,'Volatility table'!U6/100)</f>
        <v>0.1049911280811946</v>
      </c>
      <c r="X6" s="5">
        <f>BlackScholesCall($O$1,X$1,$C6,$E6,'Volatility table'!V6/100)</f>
        <v>3.5933091564597452E-2</v>
      </c>
    </row>
    <row r="7" spans="1:24" x14ac:dyDescent="0.3">
      <c r="A7" s="3" t="s">
        <v>26</v>
      </c>
      <c r="B7" s="4">
        <f>'Volatility table'!B7</f>
        <v>45056</v>
      </c>
      <c r="C7" s="10">
        <f>YEARFRAC(RF!$E$1,$B7,3)</f>
        <v>0.49589041095890413</v>
      </c>
      <c r="D7" s="5">
        <f>'Volatility table'!C7</f>
        <v>282.61200000000002</v>
      </c>
      <c r="E7" s="11">
        <f t="shared" si="0"/>
        <v>4.9818700439117514E-2</v>
      </c>
      <c r="F7" s="5">
        <f>BlackScholesCall($O$1,F$1,$C7,$E7,'Volatility table'!D7/100)</f>
        <v>141.58093484932908</v>
      </c>
      <c r="G7" s="5">
        <f>BlackScholesCall($O$1,G$1,$C7,$E7,'Volatility table'!E7/100)</f>
        <v>115.0971215779004</v>
      </c>
      <c r="H7" s="5">
        <f>BlackScholesCall($O$1,H$1,$C7,$E7,'Volatility table'!F7/100)</f>
        <v>89.083156960074405</v>
      </c>
      <c r="I7" s="5">
        <f>BlackScholesCall($O$1,I$1,$C7,$E7,'Volatility table'!G7/100)</f>
        <v>76.370089920584832</v>
      </c>
      <c r="J7" s="5">
        <f>BlackScholesCall($O$1,J$1,$C7,$E7,'Volatility table'!H7/100)</f>
        <v>63.943350593876517</v>
      </c>
      <c r="K7" s="5">
        <f>BlackScholesCall($O$1,K$1,$C7,$E7,'Volatility table'!I7/100)</f>
        <v>51.901429612397266</v>
      </c>
      <c r="L7" s="5">
        <f>BlackScholesCall($O$1,L$1,$C7,$E7,'Volatility table'!J7/100)</f>
        <v>40.415432313605493</v>
      </c>
      <c r="M7" s="5">
        <f>BlackScholesCall($O$1,M$1,$C7,$E7,'Volatility table'!K7/100)</f>
        <v>29.704515640113186</v>
      </c>
      <c r="N7" s="5">
        <f>BlackScholesCall($O$1,N$1,$C7,$E7,'Volatility table'!L7/100)</f>
        <v>24.753929620307929</v>
      </c>
      <c r="O7" s="5">
        <f>BlackScholesCall($O$1,O$1,$C7,$E7,'Volatility table'!M7/100)</f>
        <v>20.139800524057705</v>
      </c>
      <c r="P7" s="5">
        <f>BlackScholesCall($O$1,P$1,$C7,$E7,'Volatility table'!N7/100)</f>
        <v>15.939613133511045</v>
      </c>
      <c r="Q7" s="5">
        <f>BlackScholesCall($O$1,Q$1,$C7,$E7,'Volatility table'!O7/100)</f>
        <v>12.243254150990666</v>
      </c>
      <c r="R7" s="5">
        <f>BlackScholesCall($O$1,R$1,$C7,$E7,'Volatility table'!P7/100)</f>
        <v>6.6957366060292571</v>
      </c>
      <c r="S7" s="5">
        <f>BlackScholesCall($O$1,S$1,$C7,$E7,'Volatility table'!Q7/100)</f>
        <v>3.5871921331881111</v>
      </c>
      <c r="T7" s="5">
        <f>BlackScholesCall($O$1,T$1,$C7,$E7,'Volatility table'!R7/100)</f>
        <v>1.9569730607419871</v>
      </c>
      <c r="U7" s="5">
        <f>BlackScholesCall($O$1,U$1,$C7,$E7,'Volatility table'!S7/100)</f>
        <v>1.0868686848246725</v>
      </c>
      <c r="V7" s="5">
        <f>BlackScholesCall($O$1,V$1,$C7,$E7,'Volatility table'!T7/100)</f>
        <v>0.61421759508153073</v>
      </c>
      <c r="W7" s="5">
        <f>BlackScholesCall($O$1,W$1,$C7,$E7,'Volatility table'!U7/100)</f>
        <v>0.20678970063323554</v>
      </c>
      <c r="X7" s="5">
        <f>BlackScholesCall($O$1,X$1,$C7,$E7,'Volatility table'!V7/100)</f>
        <v>7.454585066474495E-2</v>
      </c>
    </row>
    <row r="8" spans="1:24" x14ac:dyDescent="0.3">
      <c r="A8" s="3" t="s">
        <v>27</v>
      </c>
      <c r="B8" s="4">
        <f>'Volatility table'!B8</f>
        <v>45089</v>
      </c>
      <c r="C8" s="10">
        <f>YEARFRAC(RF!$E$1,$B8,3)</f>
        <v>0.58630136986301373</v>
      </c>
      <c r="D8" s="5">
        <f>'Volatility table'!C8</f>
        <v>283.94900000000001</v>
      </c>
      <c r="E8" s="11">
        <f t="shared" si="0"/>
        <v>5.0399293313242E-2</v>
      </c>
      <c r="F8" s="5">
        <f>BlackScholesCall($O$1,F$1,$C8,$E8,'Volatility table'!D8/100)</f>
        <v>142.33708794689781</v>
      </c>
      <c r="G8" s="5">
        <f>BlackScholesCall($O$1,G$1,$C8,$E8,'Volatility table'!E8/100)</f>
        <v>116.10775977782978</v>
      </c>
      <c r="H8" s="5">
        <f>BlackScholesCall($O$1,H$1,$C8,$E8,'Volatility table'!F8/100)</f>
        <v>90.429654219314102</v>
      </c>
      <c r="I8" s="5">
        <f>BlackScholesCall($O$1,I$1,$C8,$E8,'Volatility table'!G8/100)</f>
        <v>77.917512787436124</v>
      </c>
      <c r="J8" s="5">
        <f>BlackScholesCall($O$1,J$1,$C8,$E8,'Volatility table'!H8/100)</f>
        <v>65.709833075176107</v>
      </c>
      <c r="K8" s="5">
        <f>BlackScholesCall($O$1,K$1,$C8,$E8,'Volatility table'!I8/100)</f>
        <v>53.891565806573595</v>
      </c>
      <c r="L8" s="5">
        <f>BlackScholesCall($O$1,L$1,$C8,$E8,'Volatility table'!J8/100)</f>
        <v>42.604767598800123</v>
      </c>
      <c r="M8" s="5">
        <f>BlackScholesCall($O$1,M$1,$C8,$E8,'Volatility table'!K8/100)</f>
        <v>32.009938891095402</v>
      </c>
      <c r="N8" s="5">
        <f>BlackScholesCall($O$1,N$1,$C8,$E8,'Volatility table'!L8/100)</f>
        <v>27.058829973659556</v>
      </c>
      <c r="O8" s="5">
        <f>BlackScholesCall($O$1,O$1,$C8,$E8,'Volatility table'!M8/100)</f>
        <v>22.386337198314123</v>
      </c>
      <c r="P8" s="5">
        <f>BlackScholesCall($O$1,P$1,$C8,$E8,'Volatility table'!N8/100)</f>
        <v>18.060854345527645</v>
      </c>
      <c r="Q8" s="5">
        <f>BlackScholesCall($O$1,Q$1,$C8,$E8,'Volatility table'!O8/100)</f>
        <v>14.173740032695122</v>
      </c>
      <c r="R8" s="5">
        <f>BlackScholesCall($O$1,R$1,$C8,$E8,'Volatility table'!P8/100)</f>
        <v>8.16259426826214</v>
      </c>
      <c r="S8" s="5">
        <f>BlackScholesCall($O$1,S$1,$C8,$E8,'Volatility table'!Q8/100)</f>
        <v>4.6918975563763254</v>
      </c>
      <c r="T8" s="5">
        <f>BlackScholesCall($O$1,T$1,$C8,$E8,'Volatility table'!R8/100)</f>
        <v>2.7697341262635362</v>
      </c>
      <c r="U8" s="5">
        <f>BlackScholesCall($O$1,U$1,$C8,$E8,'Volatility table'!S8/100)</f>
        <v>1.6560962506038877</v>
      </c>
      <c r="V8" s="5">
        <f>BlackScholesCall($O$1,V$1,$C8,$E8,'Volatility table'!T8/100)</f>
        <v>0.99749353937997398</v>
      </c>
      <c r="W8" s="5">
        <f>BlackScholesCall($O$1,W$1,$C8,$E8,'Volatility table'!U8/100)</f>
        <v>0.36980764469319194</v>
      </c>
      <c r="X8" s="5">
        <f>BlackScholesCall($O$1,X$1,$C8,$E8,'Volatility table'!V8/100)</f>
        <v>0.14162318286047793</v>
      </c>
    </row>
    <row r="9" spans="1:24" x14ac:dyDescent="0.3">
      <c r="A9" s="3" t="s">
        <v>28</v>
      </c>
      <c r="B9" s="4">
        <f>'Volatility table'!B9</f>
        <v>45117</v>
      </c>
      <c r="C9" s="10">
        <f>YEARFRAC(RF!$E$1,$B9,3)</f>
        <v>0.66301369863013704</v>
      </c>
      <c r="D9" s="5">
        <f>'Volatility table'!C9</f>
        <v>285.089</v>
      </c>
      <c r="E9" s="11">
        <f t="shared" si="0"/>
        <v>5.077133855487248E-2</v>
      </c>
      <c r="F9" s="5">
        <f>BlackScholesCall($O$1,F$1,$C9,$E9,'Volatility table'!D9/100)</f>
        <v>142.98796810608567</v>
      </c>
      <c r="G9" s="5">
        <f>BlackScholesCall($O$1,G$1,$C9,$E9,'Volatility table'!E9/100)</f>
        <v>116.96636763662048</v>
      </c>
      <c r="H9" s="5">
        <f>BlackScholesCall($O$1,H$1,$C9,$E9,'Volatility table'!F9/100)</f>
        <v>91.540340212268092</v>
      </c>
      <c r="I9" s="5">
        <f>BlackScholesCall($O$1,I$1,$C9,$E9,'Volatility table'!G9/100)</f>
        <v>79.169338947042974</v>
      </c>
      <c r="J9" s="5">
        <f>BlackScholesCall($O$1,J$1,$C9,$E9,'Volatility table'!H9/100)</f>
        <v>67.108203804046184</v>
      </c>
      <c r="K9" s="5">
        <f>BlackScholesCall($O$1,K$1,$C9,$E9,'Volatility table'!I9/100)</f>
        <v>55.435682423354933</v>
      </c>
      <c r="L9" s="5">
        <f>BlackScholesCall($O$1,L$1,$C9,$E9,'Volatility table'!J9/100)</f>
        <v>44.279723699535396</v>
      </c>
      <c r="M9" s="5">
        <f>BlackScholesCall($O$1,M$1,$C9,$E9,'Volatility table'!K9/100)</f>
        <v>33.78116698825761</v>
      </c>
      <c r="N9" s="5">
        <f>BlackScholesCall($O$1,N$1,$C9,$E9,'Volatility table'!L9/100)</f>
        <v>28.852437339918225</v>
      </c>
      <c r="O9" s="5">
        <f>BlackScholesCall($O$1,O$1,$C9,$E9,'Volatility table'!M9/100)</f>
        <v>24.177310397922753</v>
      </c>
      <c r="P9" s="5">
        <f>BlackScholesCall($O$1,P$1,$C9,$E9,'Volatility table'!N9/100)</f>
        <v>19.814314989948286</v>
      </c>
      <c r="Q9" s="5">
        <f>BlackScholesCall($O$1,Q$1,$C9,$E9,'Volatility table'!O9/100)</f>
        <v>15.842018270860521</v>
      </c>
      <c r="R9" s="5">
        <f>BlackScholesCall($O$1,R$1,$C9,$E9,'Volatility table'!P9/100)</f>
        <v>9.4759583162208543</v>
      </c>
      <c r="S9" s="5">
        <f>BlackScholesCall($O$1,S$1,$C9,$E9,'Volatility table'!Q9/100)</f>
        <v>5.7270545064788649</v>
      </c>
      <c r="T9" s="5">
        <f>BlackScholesCall($O$1,T$1,$C9,$E9,'Volatility table'!R9/100)</f>
        <v>3.5470517957096419</v>
      </c>
      <c r="U9" s="5">
        <f>BlackScholesCall($O$1,U$1,$C9,$E9,'Volatility table'!S9/100)</f>
        <v>2.2079852945350709</v>
      </c>
      <c r="V9" s="5">
        <f>BlackScholesCall($O$1,V$1,$C9,$E9,'Volatility table'!T9/100)</f>
        <v>1.3765208953021606</v>
      </c>
      <c r="W9" s="5">
        <f>BlackScholesCall($O$1,W$1,$C9,$E9,'Volatility table'!U9/100)</f>
        <v>0.53820439795193131</v>
      </c>
      <c r="X9" s="5">
        <f>BlackScholesCall($O$1,X$1,$C9,$E9,'Volatility table'!V9/100)</f>
        <v>0.21392921454474489</v>
      </c>
    </row>
    <row r="10" spans="1:24" x14ac:dyDescent="0.3">
      <c r="A10" s="3" t="s">
        <v>29</v>
      </c>
      <c r="B10" s="4">
        <f>'Volatility table'!B10</f>
        <v>45148</v>
      </c>
      <c r="C10" s="10">
        <f>YEARFRAC(RF!$E$1,$B10,3)</f>
        <v>0.74794520547945209</v>
      </c>
      <c r="D10" s="5">
        <f>'Volatility table'!C10</f>
        <v>286.34699999999998</v>
      </c>
      <c r="E10" s="11">
        <f t="shared" si="0"/>
        <v>5.1047797533524619E-2</v>
      </c>
      <c r="F10" s="5">
        <f>BlackScholesCall($O$1,F$1,$C10,$E10,'Volatility table'!D10/100)</f>
        <v>143.7121202758519</v>
      </c>
      <c r="G10" s="5">
        <f>BlackScholesCall($O$1,G$1,$C10,$E10,'Volatility table'!E10/100)</f>
        <v>117.91643850063886</v>
      </c>
      <c r="H10" s="5">
        <f>BlackScholesCall($O$1,H$1,$C10,$E10,'Volatility table'!F10/100)</f>
        <v>92.754657118131036</v>
      </c>
      <c r="I10" s="5">
        <f>BlackScholesCall($O$1,I$1,$C10,$E10,'Volatility table'!G10/100)</f>
        <v>80.526374124241727</v>
      </c>
      <c r="J10" s="5">
        <f>BlackScholesCall($O$1,J$1,$C10,$E10,'Volatility table'!H10/100)</f>
        <v>68.609887640859682</v>
      </c>
      <c r="K10" s="5">
        <f>BlackScholesCall($O$1,K$1,$C10,$E10,'Volatility table'!I10/100)</f>
        <v>57.077839311433365</v>
      </c>
      <c r="L10" s="5">
        <f>BlackScholesCall($O$1,L$1,$C10,$E10,'Volatility table'!J10/100)</f>
        <v>46.047426304001164</v>
      </c>
      <c r="M10" s="5">
        <f>BlackScholesCall($O$1,M$1,$C10,$E10,'Volatility table'!K10/100)</f>
        <v>35.640900431690085</v>
      </c>
      <c r="N10" s="5">
        <f>BlackScholesCall($O$1,N$1,$C10,$E10,'Volatility table'!L10/100)</f>
        <v>30.737017011572988</v>
      </c>
      <c r="O10" s="5">
        <f>BlackScholesCall($O$1,O$1,$C10,$E10,'Volatility table'!M10/100)</f>
        <v>26.064216209016706</v>
      </c>
      <c r="P10" s="5">
        <f>BlackScholesCall($O$1,P$1,$C10,$E10,'Volatility table'!N10/100)</f>
        <v>21.67331260897717</v>
      </c>
      <c r="Q10" s="5">
        <f>BlackScholesCall($O$1,Q$1,$C10,$E10,'Volatility table'!O10/100)</f>
        <v>17.628537386839668</v>
      </c>
      <c r="R10" s="5">
        <f>BlackScholesCall($O$1,R$1,$C10,$E10,'Volatility table'!P10/100)</f>
        <v>10.919404505851375</v>
      </c>
      <c r="S10" s="5">
        <f>BlackScholesCall($O$1,S$1,$C10,$E10,'Volatility table'!Q10/100)</f>
        <v>6.9022258527555351</v>
      </c>
      <c r="T10" s="5">
        <f>BlackScholesCall($O$1,T$1,$C10,$E10,'Volatility table'!R10/100)</f>
        <v>4.4596454225171556</v>
      </c>
      <c r="U10" s="5">
        <f>BlackScholesCall($O$1,U$1,$C10,$E10,'Volatility table'!S10/100)</f>
        <v>2.8781148339849096</v>
      </c>
      <c r="V10" s="5">
        <f>BlackScholesCall($O$1,V$1,$C10,$E10,'Volatility table'!T10/100)</f>
        <v>1.8515763121536821</v>
      </c>
      <c r="W10" s="5">
        <f>BlackScholesCall($O$1,W$1,$C10,$E10,'Volatility table'!U10/100)</f>
        <v>0.76232985062548764</v>
      </c>
      <c r="X10" s="5">
        <f>BlackScholesCall($O$1,X$1,$C10,$E10,'Volatility table'!V10/100)</f>
        <v>0.31488108576825358</v>
      </c>
    </row>
    <row r="11" spans="1:24" x14ac:dyDescent="0.3">
      <c r="A11" s="3" t="s">
        <v>30</v>
      </c>
      <c r="B11" s="4">
        <f>'Volatility table'!B11</f>
        <v>45180</v>
      </c>
      <c r="C11" s="10">
        <f>YEARFRAC(RF!$E$1,$B11,3)</f>
        <v>0.83561643835616439</v>
      </c>
      <c r="D11" s="5">
        <f>'Volatility table'!C11</f>
        <v>287.63099999999997</v>
      </c>
      <c r="E11" s="11">
        <f t="shared" si="0"/>
        <v>5.1185045002633212E-2</v>
      </c>
      <c r="F11" s="5">
        <f>BlackScholesCall($O$1,F$1,$C11,$E11,'Volatility table'!D11/100)</f>
        <v>144.45779636801859</v>
      </c>
      <c r="G11" s="5">
        <f>BlackScholesCall($O$1,G$1,$C11,$E11,'Volatility table'!E11/100)</f>
        <v>118.89090658016772</v>
      </c>
      <c r="H11" s="5">
        <f>BlackScholesCall($O$1,H$1,$C11,$E11,'Volatility table'!F11/100)</f>
        <v>93.989534538498077</v>
      </c>
      <c r="I11" s="5">
        <f>BlackScholesCall($O$1,I$1,$C11,$E11,'Volatility table'!G11/100)</f>
        <v>81.898294563215217</v>
      </c>
      <c r="J11" s="5">
        <f>BlackScholesCall($O$1,J$1,$C11,$E11,'Volatility table'!H11/100)</f>
        <v>70.11940910328434</v>
      </c>
      <c r="K11" s="5">
        <f>BlackScholesCall($O$1,K$1,$C11,$E11,'Volatility table'!I11/100)</f>
        <v>58.717428378691807</v>
      </c>
      <c r="L11" s="5">
        <f>BlackScholesCall($O$1,L$1,$C11,$E11,'Volatility table'!J11/100)</f>
        <v>47.800721182630696</v>
      </c>
      <c r="M11" s="5">
        <f>BlackScholesCall($O$1,M$1,$C11,$E11,'Volatility table'!K11/100)</f>
        <v>37.47505102486457</v>
      </c>
      <c r="N11" s="5">
        <f>BlackScholesCall($O$1,N$1,$C11,$E11,'Volatility table'!L11/100)</f>
        <v>32.591354756402353</v>
      </c>
      <c r="O11" s="5">
        <f>BlackScholesCall($O$1,O$1,$C11,$E11,'Volatility table'!M11/100)</f>
        <v>27.920060671196921</v>
      </c>
      <c r="P11" s="5">
        <f>BlackScholesCall($O$1,P$1,$C11,$E11,'Volatility table'!N11/100)</f>
        <v>23.502221725899119</v>
      </c>
      <c r="Q11" s="5">
        <f>BlackScholesCall($O$1,Q$1,$C11,$E11,'Volatility table'!O11/100)</f>
        <v>19.393421507127897</v>
      </c>
      <c r="R11" s="5">
        <f>BlackScholesCall($O$1,R$1,$C11,$E11,'Volatility table'!P11/100)</f>
        <v>12.377430778286936</v>
      </c>
      <c r="S11" s="5">
        <f>BlackScholesCall($O$1,S$1,$C11,$E11,'Volatility table'!Q11/100)</f>
        <v>8.1198829771019945</v>
      </c>
      <c r="T11" s="5">
        <f>BlackScholesCall($O$1,T$1,$C11,$E11,'Volatility table'!R11/100)</f>
        <v>5.4360331852552761</v>
      </c>
      <c r="U11" s="5">
        <f>BlackScholesCall($O$1,U$1,$C11,$E11,'Volatility table'!S11/100)</f>
        <v>3.6196222624763621</v>
      </c>
      <c r="V11" s="5">
        <f>BlackScholesCall($O$1,V$1,$C11,$E11,'Volatility table'!T11/100)</f>
        <v>2.3957592415263278</v>
      </c>
      <c r="W11" s="5">
        <f>BlackScholesCall($O$1,W$1,$C11,$E11,'Volatility table'!U11/100)</f>
        <v>1.0355585517978838</v>
      </c>
      <c r="X11" s="5">
        <f>BlackScholesCall($O$1,X$1,$C11,$E11,'Volatility table'!V11/100)</f>
        <v>0.44467184672258675</v>
      </c>
    </row>
    <row r="12" spans="1:24" x14ac:dyDescent="0.3">
      <c r="A12" s="3" t="s">
        <v>31</v>
      </c>
      <c r="B12" s="4">
        <f>'Volatility table'!B12</f>
        <v>45209</v>
      </c>
      <c r="C12" s="10">
        <f>YEARFRAC(RF!$E$1,$B12,3)</f>
        <v>0.91506849315068495</v>
      </c>
      <c r="D12" s="5">
        <f>'Volatility table'!C12</f>
        <v>288.77800000000002</v>
      </c>
      <c r="E12" s="11">
        <f t="shared" si="0"/>
        <v>5.1200805100371616E-2</v>
      </c>
      <c r="F12" s="5">
        <f>BlackScholesCall($O$1,F$1,$C12,$E12,'Volatility table'!D12/100)</f>
        <v>145.12908993866824</v>
      </c>
      <c r="G12" s="5">
        <f>BlackScholesCall($O$1,G$1,$C12,$E12,'Volatility table'!E12/100)</f>
        <v>119.76487548441276</v>
      </c>
      <c r="H12" s="5">
        <f>BlackScholesCall($O$1,H$1,$C12,$E12,'Volatility table'!F12/100)</f>
        <v>95.088817687918606</v>
      </c>
      <c r="I12" s="5">
        <f>BlackScholesCall($O$1,I$1,$C12,$E12,'Volatility table'!G12/100)</f>
        <v>83.114208711154163</v>
      </c>
      <c r="J12" s="5">
        <f>BlackScholesCall($O$1,J$1,$C12,$E12,'Volatility table'!H12/100)</f>
        <v>71.449836705709316</v>
      </c>
      <c r="K12" s="5">
        <f>BlackScholesCall($O$1,K$1,$C12,$E12,'Volatility table'!I12/100)</f>
        <v>60.155049541373472</v>
      </c>
      <c r="L12" s="5">
        <f>BlackScholesCall($O$1,L$1,$C12,$E12,'Volatility table'!J12/100)</f>
        <v>49.329875986811487</v>
      </c>
      <c r="M12" s="5">
        <f>BlackScholesCall($O$1,M$1,$C12,$E12,'Volatility table'!K12/100)</f>
        <v>39.068336494844317</v>
      </c>
      <c r="N12" s="5">
        <f>BlackScholesCall($O$1,N$1,$C12,$E12,'Volatility table'!L12/100)</f>
        <v>34.200643916154291</v>
      </c>
      <c r="O12" s="5">
        <f>BlackScholesCall($O$1,O$1,$C12,$E12,'Volatility table'!M12/100)</f>
        <v>29.529346830867411</v>
      </c>
      <c r="P12" s="5">
        <f>BlackScholesCall($O$1,P$1,$C12,$E12,'Volatility table'!N12/100)</f>
        <v>25.090317016692126</v>
      </c>
      <c r="Q12" s="5">
        <f>BlackScholesCall($O$1,Q$1,$C12,$E12,'Volatility table'!O12/100)</f>
        <v>20.930112361307508</v>
      </c>
      <c r="R12" s="5">
        <f>BlackScholesCall($O$1,R$1,$C12,$E12,'Volatility table'!P12/100)</f>
        <v>13.667536841382059</v>
      </c>
      <c r="S12" s="5">
        <f>BlackScholesCall($O$1,S$1,$C12,$E12,'Volatility table'!Q12/100)</f>
        <v>9.2207228059099151</v>
      </c>
      <c r="T12" s="5">
        <f>BlackScholesCall($O$1,T$1,$C12,$E12,'Volatility table'!R12/100)</f>
        <v>6.3414543428677632</v>
      </c>
      <c r="U12" s="5">
        <f>BlackScholesCall($O$1,U$1,$C12,$E12,'Volatility table'!S12/100)</f>
        <v>4.3265640863111017</v>
      </c>
      <c r="V12" s="5">
        <f>BlackScholesCall($O$1,V$1,$C12,$E12,'Volatility table'!T12/100)</f>
        <v>2.9286027048851295</v>
      </c>
      <c r="W12" s="5">
        <f>BlackScholesCall($O$1,W$1,$C12,$E12,'Volatility table'!U12/100)</f>
        <v>1.31786277530124</v>
      </c>
      <c r="X12" s="5">
        <f>BlackScholesCall($O$1,X$1,$C12,$E12,'Volatility table'!V12/100)</f>
        <v>0.58486462039535247</v>
      </c>
    </row>
    <row r="13" spans="1:24" x14ac:dyDescent="0.3">
      <c r="A13" s="3" t="s">
        <v>32</v>
      </c>
      <c r="B13" s="4">
        <f>'Volatility table'!B13</f>
        <v>45240</v>
      </c>
      <c r="C13" s="10">
        <f>YEARFRAC(RF!$E$1,$B13,3)</f>
        <v>1</v>
      </c>
      <c r="D13" s="5">
        <f>'Volatility table'!C13</f>
        <v>289.98500000000001</v>
      </c>
      <c r="E13" s="11">
        <f t="shared" si="0"/>
        <v>5.112730172538793E-2</v>
      </c>
      <c r="F13" s="5">
        <f>BlackScholesCall($O$1,F$1,$C13,$E13,'Volatility table'!D13/100)</f>
        <v>145.84046604797442</v>
      </c>
      <c r="G13" s="5">
        <f>BlackScholesCall($O$1,G$1,$C13,$E13,'Volatility table'!E13/100)</f>
        <v>120.68735749474257</v>
      </c>
      <c r="H13" s="5">
        <f>BlackScholesCall($O$1,H$1,$C13,$E13,'Volatility table'!F13/100)</f>
        <v>96.241743732056108</v>
      </c>
      <c r="I13" s="5">
        <f>BlackScholesCall($O$1,I$1,$C13,$E13,'Volatility table'!G13/100)</f>
        <v>84.383927878885572</v>
      </c>
      <c r="J13" s="5">
        <f>BlackScholesCall($O$1,J$1,$C13,$E13,'Volatility table'!H13/100)</f>
        <v>72.833393988110259</v>
      </c>
      <c r="K13" s="5">
        <f>BlackScholesCall($O$1,K$1,$C13,$E13,'Volatility table'!I13/100)</f>
        <v>61.644129989532331</v>
      </c>
      <c r="L13" s="5">
        <f>BlackScholesCall($O$1,L$1,$C13,$E13,'Volatility table'!J13/100)</f>
        <v>50.907498702261421</v>
      </c>
      <c r="M13" s="5">
        <f>BlackScholesCall($O$1,M$1,$C13,$E13,'Volatility table'!K13/100)</f>
        <v>40.706452783532001</v>
      </c>
      <c r="N13" s="5">
        <f>BlackScholesCall($O$1,N$1,$C13,$E13,'Volatility table'!L13/100)</f>
        <v>35.852946035715121</v>
      </c>
      <c r="O13" s="5">
        <f>BlackScholesCall($O$1,O$1,$C13,$E13,'Volatility table'!M13/100)</f>
        <v>31.181396751684474</v>
      </c>
      <c r="P13" s="5">
        <f>BlackScholesCall($O$1,P$1,$C13,$E13,'Volatility table'!N13/100)</f>
        <v>26.722801418976729</v>
      </c>
      <c r="Q13" s="5">
        <f>BlackScholesCall($O$1,Q$1,$C13,$E13,'Volatility table'!O13/100)</f>
        <v>22.513451099933548</v>
      </c>
      <c r="R13" s="5">
        <f>BlackScholesCall($O$1,R$1,$C13,$E13,'Volatility table'!P13/100)</f>
        <v>15.016054913006599</v>
      </c>
      <c r="S13" s="5">
        <f>BlackScholesCall($O$1,S$1,$C13,$E13,'Volatility table'!Q13/100)</f>
        <v>10.390887796593532</v>
      </c>
      <c r="T13" s="5">
        <f>BlackScholesCall($O$1,T$1,$C13,$E13,'Volatility table'!R13/100)</f>
        <v>7.3230030610779124</v>
      </c>
      <c r="U13" s="5">
        <f>BlackScholesCall($O$1,U$1,$C13,$E13,'Volatility table'!S13/100)</f>
        <v>5.1106630241653122</v>
      </c>
      <c r="V13" s="5">
        <f>BlackScholesCall($O$1,V$1,$C13,$E13,'Volatility table'!T13/100)</f>
        <v>3.534034749015639</v>
      </c>
      <c r="W13" s="5">
        <f>BlackScholesCall($O$1,W$1,$C13,$E13,'Volatility table'!U13/100)</f>
        <v>1.6532603550189364</v>
      </c>
      <c r="X13" s="5">
        <f>BlackScholesCall($O$1,X$1,$C13,$E13,'Volatility table'!V13/100)</f>
        <v>0.75862579246664552</v>
      </c>
    </row>
    <row r="14" spans="1:24" x14ac:dyDescent="0.3">
      <c r="A14" s="3" t="s">
        <v>33</v>
      </c>
      <c r="B14" s="4">
        <f>'Volatility table'!B14</f>
        <v>45271</v>
      </c>
      <c r="C14" s="10">
        <f>YEARFRAC(RF!$E$1,$B14,3)</f>
        <v>1.0849315068493151</v>
      </c>
      <c r="D14" s="5">
        <f>'Volatility table'!C14</f>
        <v>291.16899999999998</v>
      </c>
      <c r="E14" s="11">
        <f t="shared" si="0"/>
        <v>5.0972007458629509E-2</v>
      </c>
      <c r="F14" s="5">
        <f>BlackScholesCall($O$1,F$1,$C14,$E14,'Volatility table'!D14/100)</f>
        <v>146.54320074936948</v>
      </c>
      <c r="G14" s="5">
        <f>BlackScholesCall($O$1,G$1,$C14,$E14,'Volatility table'!E14/100)</f>
        <v>121.59531248569766</v>
      </c>
      <c r="H14" s="5">
        <f>BlackScholesCall($O$1,H$1,$C14,$E14,'Volatility table'!F14/100)</f>
        <v>97.368742966768707</v>
      </c>
      <c r="I14" s="5">
        <f>BlackScholesCall($O$1,I$1,$C14,$E14,'Volatility table'!G14/100)</f>
        <v>85.621691253655712</v>
      </c>
      <c r="J14" s="5">
        <f>BlackScholesCall($O$1,J$1,$C14,$E14,'Volatility table'!H14/100)</f>
        <v>74.176128512091964</v>
      </c>
      <c r="K14" s="5">
        <f>BlackScholesCall($O$1,K$1,$C14,$E14,'Volatility table'!I14/100)</f>
        <v>63.083768154382653</v>
      </c>
      <c r="L14" s="5">
        <f>BlackScholesCall($O$1,L$1,$C14,$E14,'Volatility table'!J14/100)</f>
        <v>52.427687964992799</v>
      </c>
      <c r="M14" s="5">
        <f>BlackScholesCall($O$1,M$1,$C14,$E14,'Volatility table'!K14/100)</f>
        <v>42.281344863713713</v>
      </c>
      <c r="N14" s="5">
        <f>BlackScholesCall($O$1,N$1,$C14,$E14,'Volatility table'!L14/100)</f>
        <v>37.441638763941796</v>
      </c>
      <c r="O14" s="5">
        <f>BlackScholesCall($O$1,O$1,$C14,$E14,'Volatility table'!M14/100)</f>
        <v>32.768809327305149</v>
      </c>
      <c r="P14" s="5">
        <f>BlackScholesCall($O$1,P$1,$C14,$E14,'Volatility table'!N14/100)</f>
        <v>28.291243162266994</v>
      </c>
      <c r="Q14" s="5">
        <f>BlackScholesCall($O$1,Q$1,$C14,$E14,'Volatility table'!O14/100)</f>
        <v>24.039354013301249</v>
      </c>
      <c r="R14" s="5">
        <f>BlackScholesCall($O$1,R$1,$C14,$E14,'Volatility table'!P14/100)</f>
        <v>16.331618139299067</v>
      </c>
      <c r="S14" s="5">
        <f>BlackScholesCall($O$1,S$1,$C14,$E14,'Volatility table'!Q14/100)</f>
        <v>11.548172227759025</v>
      </c>
      <c r="T14" s="5">
        <f>BlackScholesCall($O$1,T$1,$C14,$E14,'Volatility table'!R14/100)</f>
        <v>8.3107224986158599</v>
      </c>
      <c r="U14" s="5">
        <f>BlackScholesCall($O$1,U$1,$C14,$E14,'Volatility table'!S14/100)</f>
        <v>5.9155845474544151</v>
      </c>
      <c r="V14" s="5">
        <f>BlackScholesCall($O$1,V$1,$C14,$E14,'Volatility table'!T14/100)</f>
        <v>4.1689030100310092</v>
      </c>
      <c r="W14" s="5">
        <f>BlackScholesCall($O$1,W$1,$C14,$E14,'Volatility table'!U14/100)</f>
        <v>2.0202728315348182</v>
      </c>
      <c r="X14" s="5">
        <f>BlackScholesCall($O$1,X$1,$C14,$E14,'Volatility table'!V14/100)</f>
        <v>0.95624756486420992</v>
      </c>
    </row>
    <row r="15" spans="1:24" x14ac:dyDescent="0.3">
      <c r="A15" s="3" t="s">
        <v>34</v>
      </c>
      <c r="B15" s="4">
        <f>'Volatility table'!B15</f>
        <v>45301</v>
      </c>
      <c r="C15" s="10">
        <f>YEARFRAC(RF!$E$1,$B15,3)</f>
        <v>1.167123287671233</v>
      </c>
      <c r="D15" s="5">
        <f>'Volatility table'!C15</f>
        <v>292.29399999999998</v>
      </c>
      <c r="E15" s="11">
        <f t="shared" si="0"/>
        <v>5.0764996946774499E-2</v>
      </c>
      <c r="F15" s="5">
        <f>BlackScholesCall($O$1,F$1,$C15,$E15,'Volatility table'!D15/100)</f>
        <v>147.21513645419734</v>
      </c>
      <c r="G15" s="5">
        <f>BlackScholesCall($O$1,G$1,$C15,$E15,'Volatility table'!E15/100)</f>
        <v>122.45965557674029</v>
      </c>
      <c r="H15" s="5">
        <f>BlackScholesCall($O$1,H$1,$C15,$E15,'Volatility table'!F15/100)</f>
        <v>98.436407569073566</v>
      </c>
      <c r="I15" s="5">
        <f>BlackScholesCall($O$1,I$1,$C15,$E15,'Volatility table'!G15/100)</f>
        <v>86.789502540750732</v>
      </c>
      <c r="J15" s="5">
        <f>BlackScholesCall($O$1,J$1,$C15,$E15,'Volatility table'!H15/100)</f>
        <v>75.440036062743388</v>
      </c>
      <c r="K15" s="5">
        <f>BlackScholesCall($O$1,K$1,$C15,$E15,'Volatility table'!I15/100)</f>
        <v>64.434178128528458</v>
      </c>
      <c r="L15" s="5">
        <f>BlackScholesCall($O$1,L$1,$C15,$E15,'Volatility table'!J15/100)</f>
        <v>53.849354353870581</v>
      </c>
      <c r="M15" s="5">
        <f>BlackScholesCall($O$1,M$1,$C15,$E15,'Volatility table'!K15/100)</f>
        <v>43.751059898878708</v>
      </c>
      <c r="N15" s="5">
        <f>BlackScholesCall($O$1,N$1,$C15,$E15,'Volatility table'!L15/100)</f>
        <v>38.922435990726427</v>
      </c>
      <c r="O15" s="5">
        <f>BlackScholesCall($O$1,O$1,$C15,$E15,'Volatility table'!M15/100)</f>
        <v>34.250191060885896</v>
      </c>
      <c r="P15" s="5">
        <f>BlackScholesCall($O$1,P$1,$C15,$E15,'Volatility table'!N15/100)</f>
        <v>29.756248781248786</v>
      </c>
      <c r="Q15" s="5">
        <f>BlackScholesCall($O$1,Q$1,$C15,$E15,'Volatility table'!O15/100)</f>
        <v>25.466337416229948</v>
      </c>
      <c r="R15" s="5">
        <f>BlackScholesCall($O$1,R$1,$C15,$E15,'Volatility table'!P15/100)</f>
        <v>17.574136042534334</v>
      </c>
      <c r="S15" s="5">
        <f>BlackScholesCall($O$1,S$1,$C15,$E15,'Volatility table'!Q15/100)</f>
        <v>12.655538600915207</v>
      </c>
      <c r="T15" s="5">
        <f>BlackScholesCall($O$1,T$1,$C15,$E15,'Volatility table'!R15/100)</f>
        <v>9.2697671937100097</v>
      </c>
      <c r="U15" s="5">
        <f>BlackScholesCall($O$1,U$1,$C15,$E15,'Volatility table'!S15/100)</f>
        <v>6.7108486664277009</v>
      </c>
      <c r="V15" s="5">
        <f>BlackScholesCall($O$1,V$1,$C15,$E15,'Volatility table'!T15/100)</f>
        <v>4.8073971957832029</v>
      </c>
      <c r="W15" s="5">
        <f>BlackScholesCall($O$1,W$1,$C15,$E15,'Volatility table'!U15/100)</f>
        <v>2.4023787881081802</v>
      </c>
      <c r="X15" s="5">
        <f>BlackScholesCall($O$1,X$1,$C15,$E15,'Volatility table'!V15/100)</f>
        <v>1.1696420664116634</v>
      </c>
    </row>
    <row r="16" spans="1:24" x14ac:dyDescent="0.3">
      <c r="A16" s="3" t="s">
        <v>35</v>
      </c>
      <c r="B16" s="4">
        <f>'Volatility table'!B16</f>
        <v>45334</v>
      </c>
      <c r="C16" s="10">
        <f>YEARFRAC(RF!$E$1,$B16,3)</f>
        <v>1.2575342465753425</v>
      </c>
      <c r="D16" s="5">
        <f>'Volatility table'!C16</f>
        <v>293.50700000000001</v>
      </c>
      <c r="E16" s="11">
        <f t="shared" si="0"/>
        <v>5.0484558282080316E-2</v>
      </c>
      <c r="F16" s="5">
        <f>BlackScholesCall($O$1,F$1,$C16,$E16,'Volatility table'!D16/100)</f>
        <v>147.94381216497135</v>
      </c>
      <c r="G16" s="5">
        <f>BlackScholesCall($O$1,G$1,$C16,$E16,'Volatility table'!E16/100)</f>
        <v>123.39109872320157</v>
      </c>
      <c r="H16" s="5">
        <f>BlackScholesCall($O$1,H$1,$C16,$E16,'Volatility table'!F16/100)</f>
        <v>99.576417635099574</v>
      </c>
      <c r="I16" s="5">
        <f>BlackScholesCall($O$1,I$1,$C16,$E16,'Volatility table'!G16/100)</f>
        <v>88.030394524682208</v>
      </c>
      <c r="J16" s="5">
        <f>BlackScholesCall($O$1,J$1,$C16,$E16,'Volatility table'!H16/100)</f>
        <v>76.775555872693303</v>
      </c>
      <c r="K16" s="5">
        <f>BlackScholesCall($O$1,K$1,$C16,$E16,'Volatility table'!I16/100)</f>
        <v>65.853740661391129</v>
      </c>
      <c r="L16" s="5">
        <f>BlackScholesCall($O$1,L$1,$C16,$E16,'Volatility table'!J16/100)</f>
        <v>55.337328325306004</v>
      </c>
      <c r="M16" s="5">
        <f>BlackScholesCall($O$1,M$1,$C16,$E16,'Volatility table'!K16/100)</f>
        <v>45.283595154041393</v>
      </c>
      <c r="N16" s="5">
        <f>BlackScholesCall($O$1,N$1,$C16,$E16,'Volatility table'!L16/100)</f>
        <v>40.465897001251051</v>
      </c>
      <c r="O16" s="5">
        <f>BlackScholesCall($O$1,O$1,$C16,$E16,'Volatility table'!M16/100)</f>
        <v>35.794364827303838</v>
      </c>
      <c r="P16" s="5">
        <f>BlackScholesCall($O$1,P$1,$C16,$E16,'Volatility table'!N16/100)</f>
        <v>31.289037791122468</v>
      </c>
      <c r="Q16" s="5">
        <f>BlackScholesCall($O$1,Q$1,$C16,$E16,'Volatility table'!O16/100)</f>
        <v>26.973669059806326</v>
      </c>
      <c r="R16" s="5">
        <f>BlackScholesCall($O$1,R$1,$C16,$E16,'Volatility table'!P16/100)</f>
        <v>18.969133485765425</v>
      </c>
      <c r="S16" s="5">
        <f>BlackScholesCall($O$1,S$1,$C16,$E16,'Volatility table'!Q16/100)</f>
        <v>13.756810096908524</v>
      </c>
      <c r="T16" s="5">
        <f>BlackScholesCall($O$1,T$1,$C16,$E16,'Volatility table'!R16/100)</f>
        <v>10.206610172010841</v>
      </c>
      <c r="U16" s="5">
        <f>BlackScholesCall($O$1,U$1,$C16,$E16,'Volatility table'!S16/100)</f>
        <v>7.506328060676573</v>
      </c>
      <c r="V16" s="5">
        <f>BlackScholesCall($O$1,V$1,$C16,$E16,'Volatility table'!T16/100)</f>
        <v>5.4670912181822473</v>
      </c>
      <c r="W16" s="5">
        <f>BlackScholesCall($O$1,W$1,$C16,$E16,'Volatility table'!U16/100)</f>
        <v>2.8297116969445568</v>
      </c>
      <c r="X16" s="5">
        <f>BlackScholesCall($O$1,X$1,$C16,$E16,'Volatility table'!V16/100)</f>
        <v>1.4285574875387841</v>
      </c>
    </row>
    <row r="17" spans="1:24" x14ac:dyDescent="0.3">
      <c r="A17" s="3" t="s">
        <v>36</v>
      </c>
      <c r="B17" s="4">
        <f>'Volatility table'!B17</f>
        <v>45362</v>
      </c>
      <c r="C17" s="10">
        <f>YEARFRAC(RF!$E$1,$B17,3)</f>
        <v>1.3342465753424657</v>
      </c>
      <c r="D17" s="5">
        <f>'Volatility table'!C17</f>
        <v>294.51900000000001</v>
      </c>
      <c r="E17" s="11">
        <f t="shared" si="0"/>
        <v>5.0219914975067725E-2</v>
      </c>
      <c r="F17" s="5">
        <f>BlackScholesCall($O$1,F$1,$C17,$E17,'Volatility table'!D17/100)</f>
        <v>148.55427051699874</v>
      </c>
      <c r="G17" s="5">
        <f>BlackScholesCall($O$1,G$1,$C17,$E17,'Volatility table'!E17/100)</f>
        <v>124.16788392080821</v>
      </c>
      <c r="H17" s="5">
        <f>BlackScholesCall($O$1,H$1,$C17,$E17,'Volatility table'!F17/100)</f>
        <v>100.5212615826471</v>
      </c>
      <c r="I17" s="5">
        <f>BlackScholesCall($O$1,I$1,$C17,$E17,'Volatility table'!G17/100)</f>
        <v>89.055181427201973</v>
      </c>
      <c r="J17" s="5">
        <f>BlackScholesCall($O$1,J$1,$C17,$E17,'Volatility table'!H17/100)</f>
        <v>77.874676461977373</v>
      </c>
      <c r="K17" s="5">
        <f>BlackScholesCall($O$1,K$1,$C17,$E17,'Volatility table'!I17/100)</f>
        <v>67.018318616705301</v>
      </c>
      <c r="L17" s="5">
        <f>BlackScholesCall($O$1,L$1,$C17,$E17,'Volatility table'!J17/100)</f>
        <v>56.554045433857112</v>
      </c>
      <c r="M17" s="5">
        <f>BlackScholesCall($O$1,M$1,$C17,$E17,'Volatility table'!K17/100)</f>
        <v>46.534673267588943</v>
      </c>
      <c r="N17" s="5">
        <f>BlackScholesCall($O$1,N$1,$C17,$E17,'Volatility table'!L17/100)</f>
        <v>41.725050150108132</v>
      </c>
      <c r="O17" s="5">
        <f>BlackScholesCall($O$1,O$1,$C17,$E17,'Volatility table'!M17/100)</f>
        <v>37.054878620101562</v>
      </c>
      <c r="P17" s="5">
        <f>BlackScholesCall($O$1,P$1,$C17,$E17,'Volatility table'!N17/100)</f>
        <v>32.544143862353735</v>
      </c>
      <c r="Q17" s="5">
        <f>BlackScholesCall($O$1,Q$1,$C17,$E17,'Volatility table'!O17/100)</f>
        <v>28.212813278903837</v>
      </c>
      <c r="R17" s="5">
        <f>BlackScholesCall($O$1,R$1,$C17,$E17,'Volatility table'!P17/100)</f>
        <v>20.142140241794266</v>
      </c>
      <c r="S17" s="5">
        <f>BlackScholesCall($O$1,S$1,$C17,$E17,'Volatility table'!Q17/100)</f>
        <v>14.650186387601565</v>
      </c>
      <c r="T17" s="5">
        <f>BlackScholesCall($O$1,T$1,$C17,$E17,'Volatility table'!R17/100)</f>
        <v>10.963341412696067</v>
      </c>
      <c r="U17" s="5">
        <f>BlackScholesCall($O$1,U$1,$C17,$E17,'Volatility table'!S17/100)</f>
        <v>8.1608794130271818</v>
      </c>
      <c r="V17" s="5">
        <f>BlackScholesCall($O$1,V$1,$C17,$E17,'Volatility table'!T17/100)</f>
        <v>6.0205816839757986</v>
      </c>
      <c r="W17" s="5">
        <f>BlackScholesCall($O$1,W$1,$C17,$E17,'Volatility table'!U17/100)</f>
        <v>3.2046187592963342</v>
      </c>
      <c r="X17" s="5">
        <f>BlackScholesCall($O$1,X$1,$C17,$E17,'Volatility table'!V17/100)</f>
        <v>1.667481468572948</v>
      </c>
    </row>
    <row r="18" spans="1:24" x14ac:dyDescent="0.3">
      <c r="A18" s="3" t="s">
        <v>37</v>
      </c>
      <c r="B18" s="4">
        <f>'Volatility table'!B18</f>
        <v>45392</v>
      </c>
      <c r="C18" s="10">
        <f>YEARFRAC(RF!$E$1,$B18,3)</f>
        <v>1.4164383561643836</v>
      </c>
      <c r="D18" s="5">
        <f>'Volatility table'!C18</f>
        <v>295.584</v>
      </c>
      <c r="E18" s="11">
        <f t="shared" si="0"/>
        <v>4.9910167607087219E-2</v>
      </c>
      <c r="F18" s="5">
        <f>BlackScholesCall($O$1,F$1,$C18,$E18,'Volatility table'!D18/100)</f>
        <v>149.20005069379386</v>
      </c>
      <c r="G18" s="5">
        <f>BlackScholesCall($O$1,G$1,$C18,$E18,'Volatility table'!E18/100)</f>
        <v>124.9863608133939</v>
      </c>
      <c r="H18" s="5">
        <f>BlackScholesCall($O$1,H$1,$C18,$E18,'Volatility table'!F18/100)</f>
        <v>101.5125238447003</v>
      </c>
      <c r="I18" s="5">
        <f>BlackScholesCall($O$1,I$1,$C18,$E18,'Volatility table'!G18/100)</f>
        <v>90.127956169626117</v>
      </c>
      <c r="J18" s="5">
        <f>BlackScholesCall($O$1,J$1,$C18,$E18,'Volatility table'!H18/100)</f>
        <v>79.022892570682473</v>
      </c>
      <c r="K18" s="5">
        <f>BlackScholesCall($O$1,K$1,$C18,$E18,'Volatility table'!I18/100)</f>
        <v>68.232709193983737</v>
      </c>
      <c r="L18" s="5">
        <f>BlackScholesCall($O$1,L$1,$C18,$E18,'Volatility table'!J18/100)</f>
        <v>57.820029295009221</v>
      </c>
      <c r="M18" s="5">
        <f>BlackScholesCall($O$1,M$1,$C18,$E18,'Volatility table'!K18/100)</f>
        <v>47.835379527464198</v>
      </c>
      <c r="N18" s="5">
        <f>BlackScholesCall($O$1,N$1,$C18,$E18,'Volatility table'!L18/100)</f>
        <v>43.034684702859693</v>
      </c>
      <c r="O18" s="5">
        <f>BlackScholesCall($O$1,O$1,$C18,$E18,'Volatility table'!M18/100)</f>
        <v>38.365735435580774</v>
      </c>
      <c r="P18" s="5">
        <f>BlackScholesCall($O$1,P$1,$C18,$E18,'Volatility table'!N18/100)</f>
        <v>33.848462072281933</v>
      </c>
      <c r="Q18" s="5">
        <f>BlackScholesCall($O$1,Q$1,$C18,$E18,'Volatility table'!O18/100)</f>
        <v>29.501475894119153</v>
      </c>
      <c r="R18" s="5">
        <f>BlackScholesCall($O$1,R$1,$C18,$E18,'Volatility table'!P18/100)</f>
        <v>21.369281690762691</v>
      </c>
      <c r="S18" s="5">
        <f>BlackScholesCall($O$1,S$1,$C18,$E18,'Volatility table'!Q18/100)</f>
        <v>15.596316247492894</v>
      </c>
      <c r="T18" s="5">
        <f>BlackScholesCall($O$1,T$1,$C18,$E18,'Volatility table'!R18/100)</f>
        <v>11.772983858395335</v>
      </c>
      <c r="U18" s="5">
        <f>BlackScholesCall($O$1,U$1,$C18,$E18,'Volatility table'!S18/100)</f>
        <v>8.8666444530560824</v>
      </c>
      <c r="V18" s="5">
        <f>BlackScholesCall($O$1,V$1,$C18,$E18,'Volatility table'!T18/100)</f>
        <v>6.6245533205843827</v>
      </c>
      <c r="W18" s="5">
        <f>BlackScholesCall($O$1,W$1,$C18,$E18,'Volatility table'!U18/100)</f>
        <v>3.62287120141076</v>
      </c>
      <c r="X18" s="5">
        <f>BlackScholesCall($O$1,X$1,$C18,$E18,'Volatility table'!V18/100)</f>
        <v>1.9412711317980964</v>
      </c>
    </row>
    <row r="19" spans="1:24" x14ac:dyDescent="0.3">
      <c r="A19" s="3" t="s">
        <v>38</v>
      </c>
      <c r="B19" s="4">
        <f>'Volatility table'!B19</f>
        <v>45422</v>
      </c>
      <c r="C19" s="10">
        <f>YEARFRAC(RF!$E$1,$B19,3)</f>
        <v>1.4986301369863013</v>
      </c>
      <c r="D19" s="5">
        <f>'Volatility table'!C19</f>
        <v>296.63200000000001</v>
      </c>
      <c r="E19" s="11">
        <f t="shared" si="0"/>
        <v>4.9585243114322219E-2</v>
      </c>
      <c r="F19" s="5">
        <f>BlackScholesCall($O$1,F$1,$C19,$E19,'Volatility table'!D19/100)</f>
        <v>149.83761714599555</v>
      </c>
      <c r="G19" s="5">
        <f>BlackScholesCall($O$1,G$1,$C19,$E19,'Volatility table'!E19/100)</f>
        <v>125.79178742685468</v>
      </c>
      <c r="H19" s="5">
        <f>BlackScholesCall($O$1,H$1,$C19,$E19,'Volatility table'!F19/100)</f>
        <v>102.48345431574916</v>
      </c>
      <c r="I19" s="5">
        <f>BlackScholesCall($O$1,I$1,$C19,$E19,'Volatility table'!G19/100)</f>
        <v>91.177285762139974</v>
      </c>
      <c r="J19" s="5">
        <f>BlackScholesCall($O$1,J$1,$C19,$E19,'Volatility table'!H19/100)</f>
        <v>80.143255777368779</v>
      </c>
      <c r="K19" s="5">
        <f>BlackScholesCall($O$1,K$1,$C19,$E19,'Volatility table'!I19/100)</f>
        <v>69.414996518245886</v>
      </c>
      <c r="L19" s="5">
        <f>BlackScholesCall($O$1,L$1,$C19,$E19,'Volatility table'!J19/100)</f>
        <v>59.053272927166518</v>
      </c>
      <c r="M19" s="5">
        <f>BlackScholesCall($O$1,M$1,$C19,$E19,'Volatility table'!K19/100)</f>
        <v>49.101211249360261</v>
      </c>
      <c r="N19" s="5">
        <f>BlackScholesCall($O$1,N$1,$C19,$E19,'Volatility table'!L19/100)</f>
        <v>44.307281908430298</v>
      </c>
      <c r="O19" s="5">
        <f>BlackScholesCall($O$1,O$1,$C19,$E19,'Volatility table'!M19/100)</f>
        <v>39.640305704135585</v>
      </c>
      <c r="P19" s="5">
        <f>BlackScholesCall($O$1,P$1,$C19,$E19,'Volatility table'!N19/100)</f>
        <v>35.118067644514326</v>
      </c>
      <c r="Q19" s="5">
        <f>BlackScholesCall($O$1,Q$1,$C19,$E19,'Volatility table'!O19/100)</f>
        <v>30.75665906120534</v>
      </c>
      <c r="R19" s="5">
        <f>BlackScholesCall($O$1,R$1,$C19,$E19,'Volatility table'!P19/100)</f>
        <v>22.566457433044036</v>
      </c>
      <c r="S19" s="5">
        <f>BlackScholesCall($O$1,S$1,$C19,$E19,'Volatility table'!Q19/100)</f>
        <v>16.532607594182622</v>
      </c>
      <c r="T19" s="5">
        <f>BlackScholesCall($O$1,T$1,$C19,$E19,'Volatility table'!R19/100)</f>
        <v>12.578637628897965</v>
      </c>
      <c r="U19" s="5">
        <f>BlackScholesCall($O$1,U$1,$C19,$E19,'Volatility table'!S19/100)</f>
        <v>9.5759953892645626</v>
      </c>
      <c r="V19" s="5">
        <f>BlackScholesCall($O$1,V$1,$C19,$E19,'Volatility table'!T19/100)</f>
        <v>7.237575835360964</v>
      </c>
      <c r="W19" s="5">
        <f>BlackScholesCall($O$1,W$1,$C19,$E19,'Volatility table'!U19/100)</f>
        <v>4.0576600671594321</v>
      </c>
      <c r="X19" s="5">
        <f>BlackScholesCall($O$1,X$1,$C19,$E19,'Volatility table'!V19/100)</f>
        <v>2.2326442961740582</v>
      </c>
    </row>
    <row r="20" spans="1:24" x14ac:dyDescent="0.3">
      <c r="A20" s="3" t="s">
        <v>39</v>
      </c>
      <c r="B20" s="4">
        <f>'Volatility table'!B20</f>
        <v>45453</v>
      </c>
      <c r="C20" s="10">
        <f>YEARFRAC(RF!$E$1,$B20,3)</f>
        <v>1.5835616438356164</v>
      </c>
      <c r="D20" s="5">
        <f>'Volatility table'!C20</f>
        <v>297.697</v>
      </c>
      <c r="E20" s="11">
        <f t="shared" si="0"/>
        <v>4.9236409861636243E-2</v>
      </c>
      <c r="F20" s="5">
        <f>BlackScholesCall($O$1,F$1,$C20,$E20,'Volatility table'!D20/100)</f>
        <v>150.48791511469906</v>
      </c>
      <c r="G20" s="5">
        <f>BlackScholesCall($O$1,G$1,$C20,$E20,'Volatility table'!E20/100)</f>
        <v>126.6101884888447</v>
      </c>
      <c r="H20" s="5">
        <f>BlackScholesCall($O$1,H$1,$C20,$E20,'Volatility table'!F20/100)</f>
        <v>103.46640876099667</v>
      </c>
      <c r="I20" s="5">
        <f>BlackScholesCall($O$1,I$1,$C20,$E20,'Volatility table'!G20/100)</f>
        <v>92.237135512516545</v>
      </c>
      <c r="J20" s="5">
        <f>BlackScholesCall($O$1,J$1,$C20,$E20,'Volatility table'!H20/100)</f>
        <v>81.273068130572739</v>
      </c>
      <c r="K20" s="5">
        <f>BlackScholesCall($O$1,K$1,$C20,$E20,'Volatility table'!I20/100)</f>
        <v>70.605769703093614</v>
      </c>
      <c r="L20" s="5">
        <f>BlackScholesCall($O$1,L$1,$C20,$E20,'Volatility table'!J20/100)</f>
        <v>60.292390750068762</v>
      </c>
      <c r="M20" s="5">
        <f>BlackScholesCall($O$1,M$1,$C20,$E20,'Volatility table'!K20/100)</f>
        <v>50.371663179656224</v>
      </c>
      <c r="N20" s="5">
        <f>BlackScholesCall($O$1,N$1,$C20,$E20,'Volatility table'!L20/100)</f>
        <v>45.586585306627882</v>
      </c>
      <c r="O20" s="5">
        <f>BlackScholesCall($O$1,O$1,$C20,$E20,'Volatility table'!M20/100)</f>
        <v>40.921734050567267</v>
      </c>
      <c r="P20" s="5">
        <f>BlackScholesCall($O$1,P$1,$C20,$E20,'Volatility table'!N20/100)</f>
        <v>36.393809162843638</v>
      </c>
      <c r="Q20" s="5">
        <f>BlackScholesCall($O$1,Q$1,$C20,$E20,'Volatility table'!O20/100)</f>
        <v>32.019005598779046</v>
      </c>
      <c r="R20" s="5">
        <f>BlackScholesCall($O$1,R$1,$C20,$E20,'Volatility table'!P20/100)</f>
        <v>23.775038609652142</v>
      </c>
      <c r="S20" s="5">
        <f>BlackScholesCall($O$1,S$1,$C20,$E20,'Volatility table'!Q20/100)</f>
        <v>17.48620998418204</v>
      </c>
      <c r="T20" s="5">
        <f>BlackScholesCall($O$1,T$1,$C20,$E20,'Volatility table'!R20/100)</f>
        <v>13.409593079828014</v>
      </c>
      <c r="U20" s="5">
        <f>BlackScholesCall($O$1,U$1,$C20,$E20,'Volatility table'!S20/100)</f>
        <v>10.312341180981178</v>
      </c>
      <c r="V20" s="5">
        <f>BlackScholesCall($O$1,V$1,$C20,$E20,'Volatility table'!T20/100)</f>
        <v>7.8786340505387571</v>
      </c>
      <c r="W20" s="5">
        <f>BlackScholesCall($O$1,W$1,$C20,$E20,'Volatility table'!U20/100)</f>
        <v>4.5209385839521445</v>
      </c>
      <c r="X20" s="5">
        <f>BlackScholesCall($O$1,X$1,$C20,$E20,'Volatility table'!V20/100)</f>
        <v>2.5508923450094798</v>
      </c>
    </row>
    <row r="21" spans="1:24" x14ac:dyDescent="0.3">
      <c r="A21" s="3" t="s">
        <v>40</v>
      </c>
      <c r="B21" s="4">
        <f>'Volatility table'!B21</f>
        <v>45483</v>
      </c>
      <c r="C21" s="10">
        <f>YEARFRAC(RF!$E$1,$B21,3)</f>
        <v>1.6657534246575343</v>
      </c>
      <c r="D21" s="5">
        <f>'Volatility table'!C21</f>
        <v>298.71199999999999</v>
      </c>
      <c r="E21" s="11">
        <f t="shared" si="0"/>
        <v>4.8892139436333748E-2</v>
      </c>
      <c r="F21" s="5">
        <f>BlackScholesCall($O$1,F$1,$C21,$E21,'Volatility table'!D21/100)</f>
        <v>151.10966452572296</v>
      </c>
      <c r="G21" s="5">
        <f>BlackScholesCall($O$1,G$1,$C21,$E21,'Volatility table'!E21/100)</f>
        <v>127.38923204658005</v>
      </c>
      <c r="H21" s="5">
        <f>BlackScholesCall($O$1,H$1,$C21,$E21,'Volatility table'!F21/100)</f>
        <v>104.39928559169326</v>
      </c>
      <c r="I21" s="5">
        <f>BlackScholesCall($O$1,I$1,$C21,$E21,'Volatility table'!G21/100)</f>
        <v>93.240621748597164</v>
      </c>
      <c r="J21" s="5">
        <f>BlackScholesCall($O$1,J$1,$C21,$E21,'Volatility table'!H21/100)</f>
        <v>82.341188663567891</v>
      </c>
      <c r="K21" s="5">
        <f>BlackScholesCall($O$1,K$1,$C21,$E21,'Volatility table'!I21/100)</f>
        <v>71.730238469728818</v>
      </c>
      <c r="L21" s="5">
        <f>BlackScholesCall($O$1,L$1,$C21,$E21,'Volatility table'!J21/100)</f>
        <v>61.460678920452352</v>
      </c>
      <c r="M21" s="5">
        <f>BlackScholesCall($O$1,M$1,$C21,$E21,'Volatility table'!K21/100)</f>
        <v>51.568279648484662</v>
      </c>
      <c r="N21" s="5">
        <f>BlackScholesCall($O$1,N$1,$C21,$E21,'Volatility table'!L21/100)</f>
        <v>46.790794192201389</v>
      </c>
      <c r="O21" s="5">
        <f>BlackScholesCall($O$1,O$1,$C21,$E21,'Volatility table'!M21/100)</f>
        <v>42.127435254398279</v>
      </c>
      <c r="P21" s="5">
        <f>BlackScholesCall($O$1,P$1,$C21,$E21,'Volatility table'!N21/100)</f>
        <v>37.595300986412724</v>
      </c>
      <c r="Q21" s="5">
        <f>BlackScholesCall($O$1,Q$1,$C21,$E21,'Volatility table'!O21/100)</f>
        <v>33.20964658028015</v>
      </c>
      <c r="R21" s="5">
        <f>BlackScholesCall($O$1,R$1,$C21,$E21,'Volatility table'!P21/100)</f>
        <v>24.918124596362219</v>
      </c>
      <c r="S21" s="5">
        <f>BlackScholesCall($O$1,S$1,$C21,$E21,'Volatility table'!Q21/100)</f>
        <v>18.39875094225826</v>
      </c>
      <c r="T21" s="5">
        <f>BlackScholesCall($O$1,T$1,$C21,$E21,'Volatility table'!R21/100)</f>
        <v>14.208031764948046</v>
      </c>
      <c r="U21" s="5">
        <f>BlackScholesCall($O$1,U$1,$C21,$E21,'Volatility table'!S21/100)</f>
        <v>11.026059364313582</v>
      </c>
      <c r="V21" s="5">
        <f>BlackScholesCall($O$1,V$1,$C21,$E21,'Volatility table'!T21/100)</f>
        <v>8.5050294469376055</v>
      </c>
      <c r="W21" s="5">
        <f>BlackScholesCall($O$1,W$1,$C21,$E21,'Volatility table'!U21/100)</f>
        <v>4.9829921348491197</v>
      </c>
      <c r="X21" s="5">
        <f>BlackScholesCall($O$1,X$1,$C21,$E21,'Volatility table'!V21/100)</f>
        <v>2.8745004638639848</v>
      </c>
    </row>
    <row r="22" spans="1:24" x14ac:dyDescent="0.3">
      <c r="A22" s="3" t="s">
        <v>41</v>
      </c>
      <c r="B22" s="4">
        <f>'Volatility table'!B22</f>
        <v>45516</v>
      </c>
      <c r="C22" s="10">
        <f>YEARFRAC(RF!$E$1,$B22,3)</f>
        <v>1.7561643835616438</v>
      </c>
      <c r="D22" s="5">
        <f>'Volatility table'!C22</f>
        <v>299.81099999999998</v>
      </c>
      <c r="E22" s="11">
        <f t="shared" si="0"/>
        <v>4.8507963915499719E-2</v>
      </c>
      <c r="F22" s="5">
        <f>BlackScholesCall($O$1,F$1,$C22,$E22,'Volatility table'!D22/100)</f>
        <v>151.78451116424759</v>
      </c>
      <c r="G22" s="5">
        <f>BlackScholesCall($O$1,G$1,$C22,$E22,'Volatility table'!E22/100)</f>
        <v>128.23267962215434</v>
      </c>
      <c r="H22" s="5">
        <f>BlackScholesCall($O$1,H$1,$C22,$E22,'Volatility table'!F22/100)</f>
        <v>105.4044825386035</v>
      </c>
      <c r="I22" s="5">
        <f>BlackScholesCall($O$1,I$1,$C22,$E22,'Volatility table'!G22/100)</f>
        <v>94.320034943480834</v>
      </c>
      <c r="J22" s="5">
        <f>BlackScholesCall($O$1,J$1,$C22,$E22,'Volatility table'!H22/100)</f>
        <v>83.489205200164889</v>
      </c>
      <c r="K22" s="5">
        <f>BlackScholesCall($O$1,K$1,$C22,$E22,'Volatility table'!I22/100)</f>
        <v>72.936274775527039</v>
      </c>
      <c r="L22" s="5">
        <f>BlackScholesCall($O$1,L$1,$C22,$E22,'Volatility table'!J22/100)</f>
        <v>62.712468035068554</v>
      </c>
      <c r="M22" s="5">
        <f>BlackScholesCall($O$1,M$1,$C22,$E22,'Volatility table'!K22/100)</f>
        <v>52.850995096267411</v>
      </c>
      <c r="N22" s="5">
        <f>BlackScholesCall($O$1,N$1,$C22,$E22,'Volatility table'!L22/100)</f>
        <v>48.081669180389241</v>
      </c>
      <c r="O22" s="5">
        <f>BlackScholesCall($O$1,O$1,$C22,$E22,'Volatility table'!M22/100)</f>
        <v>43.42022219082088</v>
      </c>
      <c r="P22" s="5">
        <f>BlackScholesCall($O$1,P$1,$C22,$E22,'Volatility table'!N22/100)</f>
        <v>38.884211939933039</v>
      </c>
      <c r="Q22" s="5">
        <f>BlackScholesCall($O$1,Q$1,$C22,$E22,'Volatility table'!O22/100)</f>
        <v>34.486553783096213</v>
      </c>
      <c r="R22" s="5">
        <f>BlackScholesCall($O$1,R$1,$C22,$E22,'Volatility table'!P22/100)</f>
        <v>26.147691521763846</v>
      </c>
      <c r="S22" s="5">
        <f>BlackScholesCall($O$1,S$1,$C22,$E22,'Volatility table'!Q22/100)</f>
        <v>19.390352689944507</v>
      </c>
      <c r="T22" s="5">
        <f>BlackScholesCall($O$1,T$1,$C22,$E22,'Volatility table'!R22/100)</f>
        <v>15.08174653420042</v>
      </c>
      <c r="U22" s="5">
        <f>BlackScholesCall($O$1,U$1,$C22,$E22,'Volatility table'!S22/100)</f>
        <v>11.811128601160675</v>
      </c>
      <c r="V22" s="5">
        <f>BlackScholesCall($O$1,V$1,$C22,$E22,'Volatility table'!T22/100)</f>
        <v>9.2004960786676833</v>
      </c>
      <c r="W22" s="5">
        <f>BlackScholesCall($O$1,W$1,$C22,$E22,'Volatility table'!U22/100)</f>
        <v>5.504054607934016</v>
      </c>
      <c r="X22" s="5">
        <f>BlackScholesCall($O$1,X$1,$C22,$E22,'Volatility table'!V22/100)</f>
        <v>3.2473256311913552</v>
      </c>
    </row>
    <row r="23" spans="1:24" x14ac:dyDescent="0.3">
      <c r="A23" s="3" t="s">
        <v>42</v>
      </c>
      <c r="B23" s="4">
        <f>'Volatility table'!B23</f>
        <v>45545</v>
      </c>
      <c r="C23" s="10">
        <f>YEARFRAC(RF!$E$1,$B23,3)</f>
        <v>1.8356164383561644</v>
      </c>
      <c r="D23" s="5">
        <f>'Volatility table'!C23</f>
        <v>300.76400000000001</v>
      </c>
      <c r="E23" s="11">
        <f t="shared" si="0"/>
        <v>4.8171082921110608E-2</v>
      </c>
      <c r="F23" s="5">
        <f>BlackScholesCall($O$1,F$1,$C23,$E23,'Volatility table'!D23/100)</f>
        <v>152.37076946773027</v>
      </c>
      <c r="G23" s="5">
        <f>BlackScholesCall($O$1,G$1,$C23,$E23,'Volatility table'!E23/100)</f>
        <v>128.9625792735913</v>
      </c>
      <c r="H23" s="5">
        <f>BlackScholesCall($O$1,H$1,$C23,$E23,'Volatility table'!F23/100)</f>
        <v>106.27125541476775</v>
      </c>
      <c r="I23" s="5">
        <f>BlackScholesCall($O$1,I$1,$C23,$E23,'Volatility table'!G23/100)</f>
        <v>95.250047864362955</v>
      </c>
      <c r="J23" s="5">
        <f>BlackScholesCall($O$1,J$1,$C23,$E23,'Volatility table'!H23/100)</f>
        <v>84.476344819668697</v>
      </c>
      <c r="K23" s="5">
        <f>BlackScholesCall($O$1,K$1,$C23,$E23,'Volatility table'!I23/100)</f>
        <v>73.972193932471157</v>
      </c>
      <c r="L23" s="5">
        <f>BlackScholesCall($O$1,L$1,$C23,$E23,'Volatility table'!J23/100)</f>
        <v>63.787121318633098</v>
      </c>
      <c r="M23" s="5">
        <f>BlackScholesCall($O$1,M$1,$C23,$E23,'Volatility table'!K23/100)</f>
        <v>53.951386598664669</v>
      </c>
      <c r="N23" s="5">
        <f>BlackScholesCall($O$1,N$1,$C23,$E23,'Volatility table'!L23/100)</f>
        <v>49.187706025614261</v>
      </c>
      <c r="O23" s="5">
        <f>BlackScholesCall($O$1,O$1,$C23,$E23,'Volatility table'!M23/100)</f>
        <v>44.52936791348597</v>
      </c>
      <c r="P23" s="5">
        <f>BlackScholesCall($O$1,P$1,$C23,$E23,'Volatility table'!N23/100)</f>
        <v>39.989322254116217</v>
      </c>
      <c r="Q23" s="5">
        <f>BlackScholesCall($O$1,Q$1,$C23,$E23,'Volatility table'!O23/100)</f>
        <v>35.58378903637805</v>
      </c>
      <c r="R23" s="5">
        <f>BlackScholesCall($O$1,R$1,$C23,$E23,'Volatility table'!P23/100)</f>
        <v>27.205754377451356</v>
      </c>
      <c r="S23" s="5">
        <f>BlackScholesCall($O$1,S$1,$C23,$E23,'Volatility table'!Q23/100)</f>
        <v>20.24848187798564</v>
      </c>
      <c r="T23" s="5">
        <f>BlackScholesCall($O$1,T$1,$C23,$E23,'Volatility table'!R23/100)</f>
        <v>15.844521418987739</v>
      </c>
      <c r="U23" s="5">
        <f>BlackScholesCall($O$1,U$1,$C23,$E23,'Volatility table'!S23/100)</f>
        <v>12.500445264582723</v>
      </c>
      <c r="V23" s="5">
        <f>BlackScholesCall($O$1,V$1,$C23,$E23,'Volatility table'!T23/100)</f>
        <v>9.8155437663234153</v>
      </c>
      <c r="W23" s="5">
        <f>BlackScholesCall($O$1,W$1,$C23,$E23,'Volatility table'!U23/100)</f>
        <v>5.972266756338044</v>
      </c>
      <c r="X23" s="5">
        <f>BlackScholesCall($O$1,X$1,$C23,$E23,'Volatility table'!V23/100)</f>
        <v>3.5878199990799082</v>
      </c>
    </row>
    <row r="24" spans="1:24" x14ac:dyDescent="0.3">
      <c r="A24" s="3" t="s">
        <v>43</v>
      </c>
      <c r="B24" s="4">
        <f>'Volatility table'!B24</f>
        <v>45575</v>
      </c>
      <c r="C24" s="10">
        <f>YEARFRAC(RF!$E$1,$B24,3)</f>
        <v>1.9178082191780821</v>
      </c>
      <c r="D24" s="5">
        <f>'Volatility table'!C24</f>
        <v>301.73700000000002</v>
      </c>
      <c r="E24" s="11">
        <f t="shared" si="0"/>
        <v>4.7822996761010872E-2</v>
      </c>
      <c r="F24" s="5">
        <f>BlackScholesCall($O$1,F$1,$C24,$E24,'Volatility table'!D24/100)</f>
        <v>152.97002070957842</v>
      </c>
      <c r="G24" s="5">
        <f>BlackScholesCall($O$1,G$1,$C24,$E24,'Volatility table'!E24/100)</f>
        <v>129.706360488229</v>
      </c>
      <c r="H24" s="5">
        <f>BlackScholesCall($O$1,H$1,$C24,$E24,'Volatility table'!F24/100)</f>
        <v>107.1525579982717</v>
      </c>
      <c r="I24" s="5">
        <f>BlackScholesCall($O$1,I$1,$C24,$E24,'Volatility table'!G24/100)</f>
        <v>96.194056297126878</v>
      </c>
      <c r="J24" s="5">
        <f>BlackScholesCall($O$1,J$1,$C24,$E24,'Volatility table'!H24/100)</f>
        <v>85.475819944048709</v>
      </c>
      <c r="K24" s="5">
        <f>BlackScholesCall($O$1,K$1,$C24,$E24,'Volatility table'!I24/100)</f>
        <v>75.020522218781707</v>
      </c>
      <c r="L24" s="5">
        <f>BlackScholesCall($O$1,L$1,$C24,$E24,'Volatility table'!J24/100)</f>
        <v>64.873378538793503</v>
      </c>
      <c r="M24" s="5">
        <f>BlackScholesCall($O$1,M$1,$C24,$E24,'Volatility table'!K24/100)</f>
        <v>55.062786493850638</v>
      </c>
      <c r="N24" s="5">
        <f>BlackScholesCall($O$1,N$1,$C24,$E24,'Volatility table'!L24/100)</f>
        <v>50.306544491291532</v>
      </c>
      <c r="O24" s="5">
        <f>BlackScholesCall($O$1,O$1,$C24,$E24,'Volatility table'!M24/100)</f>
        <v>45.649356728877734</v>
      </c>
      <c r="P24" s="5">
        <f>BlackScholesCall($O$1,P$1,$C24,$E24,'Volatility table'!N24/100)</f>
        <v>41.106134812743079</v>
      </c>
      <c r="Q24" s="5">
        <f>BlackScholesCall($O$1,Q$1,$C24,$E24,'Volatility table'!O24/100)</f>
        <v>36.69248119344698</v>
      </c>
      <c r="R24" s="5">
        <f>BlackScholesCall($O$1,R$1,$C24,$E24,'Volatility table'!P24/100)</f>
        <v>28.277069825454149</v>
      </c>
      <c r="S24" s="5">
        <f>BlackScholesCall($O$1,S$1,$C24,$E24,'Volatility table'!Q24/100)</f>
        <v>21.126830755538521</v>
      </c>
      <c r="T24" s="5">
        <f>BlackScholesCall($O$1,T$1,$C24,$E24,'Volatility table'!R24/100)</f>
        <v>16.628483333145326</v>
      </c>
      <c r="U24" s="5">
        <f>BlackScholesCall($O$1,U$1,$C24,$E24,'Volatility table'!S24/100)</f>
        <v>13.214069902894721</v>
      </c>
      <c r="V24" s="5">
        <f>BlackScholesCall($O$1,V$1,$C24,$E24,'Volatility table'!T24/100)</f>
        <v>10.453614398841523</v>
      </c>
      <c r="W24" s="5">
        <f>BlackScholesCall($O$1,W$1,$C24,$E24,'Volatility table'!U24/100)</f>
        <v>6.4646733973471484</v>
      </c>
      <c r="X24" s="5">
        <f>BlackScholesCall($O$1,X$1,$C24,$E24,'Volatility table'!V24/100)</f>
        <v>3.9522655810005531</v>
      </c>
    </row>
    <row r="25" spans="1:24" x14ac:dyDescent="0.3">
      <c r="A25" s="3" t="s">
        <v>44</v>
      </c>
      <c r="B25" s="4">
        <f>'Volatility table'!B25</f>
        <v>45608</v>
      </c>
      <c r="C25" s="10">
        <f>YEARFRAC(RF!$E$1,$B25,3)</f>
        <v>2.0082191780821916</v>
      </c>
      <c r="D25" s="5">
        <f>'Volatility table'!C25</f>
        <v>302.79500000000002</v>
      </c>
      <c r="E25" s="11">
        <f t="shared" si="0"/>
        <v>4.7445677375461237E-2</v>
      </c>
      <c r="F25" s="5">
        <f>BlackScholesCall($O$1,F$1,$C25,$E25,'Volatility table'!D25/100)</f>
        <v>153.62234975569717</v>
      </c>
      <c r="G25" s="5">
        <f>BlackScholesCall($O$1,G$1,$C25,$E25,'Volatility table'!E25/100)</f>
        <v>130.51279487697133</v>
      </c>
      <c r="H25" s="5">
        <f>BlackScholesCall($O$1,H$1,$C25,$E25,'Volatility table'!F25/100)</f>
        <v>108.10487291044967</v>
      </c>
      <c r="I25" s="5">
        <f>BlackScholesCall($O$1,I$1,$C25,$E25,'Volatility table'!G25/100)</f>
        <v>97.212533284374388</v>
      </c>
      <c r="J25" s="5">
        <f>BlackScholesCall($O$1,J$1,$C25,$E25,'Volatility table'!H25/100)</f>
        <v>86.55452740492521</v>
      </c>
      <c r="K25" s="5">
        <f>BlackScholesCall($O$1,K$1,$C25,$E25,'Volatility table'!I25/100)</f>
        <v>76.149623926136172</v>
      </c>
      <c r="L25" s="5">
        <f>BlackScholesCall($O$1,L$1,$C25,$E25,'Volatility table'!J25/100)</f>
        <v>66.043456234022699</v>
      </c>
      <c r="M25" s="5">
        <f>BlackScholesCall($O$1,M$1,$C25,$E25,'Volatility table'!K25/100)</f>
        <v>56.259365672620305</v>
      </c>
      <c r="N25" s="5">
        <f>BlackScholesCall($O$1,N$1,$C25,$E25,'Volatility table'!L25/100)</f>
        <v>51.509672560750261</v>
      </c>
      <c r="O25" s="5">
        <f>BlackScholesCall($O$1,O$1,$C25,$E25,'Volatility table'!M25/100)</f>
        <v>46.855216718186938</v>
      </c>
      <c r="P25" s="5">
        <f>BlackScholesCall($O$1,P$1,$C25,$E25,'Volatility table'!N25/100)</f>
        <v>42.308909204499969</v>
      </c>
      <c r="Q25" s="5">
        <f>BlackScholesCall($O$1,Q$1,$C25,$E25,'Volatility table'!O25/100)</f>
        <v>37.885596476980737</v>
      </c>
      <c r="R25" s="5">
        <f>BlackScholesCall($O$1,R$1,$C25,$E25,'Volatility table'!P25/100)</f>
        <v>29.433651749459727</v>
      </c>
      <c r="S25" s="5">
        <f>BlackScholesCall($O$1,S$1,$C25,$E25,'Volatility table'!Q25/100)</f>
        <v>22.081584088540865</v>
      </c>
      <c r="T25" s="5">
        <f>BlackScholesCall($O$1,T$1,$C25,$E25,'Volatility table'!R25/100)</f>
        <v>17.48407237434175</v>
      </c>
      <c r="U25" s="5">
        <f>BlackScholesCall($O$1,U$1,$C25,$E25,'Volatility table'!S25/100)</f>
        <v>13.996945991449394</v>
      </c>
      <c r="V25" s="5">
        <f>BlackScholesCall($O$1,V$1,$C25,$E25,'Volatility table'!T25/100)</f>
        <v>11.160409611832776</v>
      </c>
      <c r="W25" s="5">
        <f>BlackScholesCall($O$1,W$1,$C25,$E25,'Volatility table'!U25/100)</f>
        <v>7.0174863217105852</v>
      </c>
      <c r="X25" s="5">
        <f>BlackScholesCall($O$1,X$1,$C25,$E25,'Volatility table'!V25/100)</f>
        <v>4.3659416791811552</v>
      </c>
    </row>
    <row r="27" spans="1:24" x14ac:dyDescent="0.3">
      <c r="E27" s="12"/>
      <c r="F27" s="14"/>
    </row>
    <row r="28" spans="1:24" x14ac:dyDescent="0.3">
      <c r="D28" s="13"/>
      <c r="E28" s="13"/>
      <c r="F28" s="13"/>
    </row>
  </sheetData>
  <phoneticPr fontId="3" type="noConversion"/>
  <pageMargins left="0.5" right="0.5" top="1" bottom="1" header="0.5" footer="0.75"/>
  <pageSetup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Volatility table</vt:lpstr>
      <vt:lpstr>RF</vt:lpstr>
      <vt:lpstr>Volatility Surface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Zhou</dc:creator>
  <cp:lastModifiedBy>ZHOU, Yaran</cp:lastModifiedBy>
  <dcterms:created xsi:type="dcterms:W3CDTF">2023-11-24T15:41:37Z</dcterms:created>
  <dcterms:modified xsi:type="dcterms:W3CDTF">2023-11-24T16:06:01Z</dcterms:modified>
</cp:coreProperties>
</file>