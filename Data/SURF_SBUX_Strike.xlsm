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ycuhk-my.sharepoint.com/personal/1155141671_link_cuhk_edu_hk/Documents/My Documents/Courses/Current/RMSC4007/project/Data/"/>
    </mc:Choice>
  </mc:AlternateContent>
  <xr:revisionPtr revIDLastSave="1" documentId="8_{A053EB53-CDCF-4439-A033-CF8FF34AA71C}" xr6:coauthVersionLast="47" xr6:coauthVersionMax="47" xr10:uidLastSave="{87858ACE-84CA-4AEC-AADB-30AAAA22E6BF}"/>
  <bookViews>
    <workbookView xWindow="-108" yWindow="-108" windowWidth="23256" windowHeight="12456" activeTab="2" xr2:uid="{00000000-000D-0000-FFFF-FFFF00000000}"/>
  </bookViews>
  <sheets>
    <sheet name="Volatility table" sheetId="2" r:id="rId1"/>
    <sheet name="RF" sheetId="4" r:id="rId2"/>
    <sheet name="Volatility Surface" sheetId="5" r:id="rId3"/>
  </sheets>
  <functionGroups builtInGroupCount="19"/>
  <calcPr calcId="191029"/>
</workbook>
</file>

<file path=xl/calcChain.xml><?xml version="1.0" encoding="utf-8"?>
<calcChain xmlns="http://schemas.openxmlformats.org/spreadsheetml/2006/main">
  <c r="G1" i="5" l="1"/>
  <c r="H1" i="5"/>
  <c r="I1" i="5"/>
  <c r="J1" i="5"/>
  <c r="K1" i="5"/>
  <c r="L1" i="5"/>
  <c r="M1" i="5"/>
  <c r="N1" i="5"/>
  <c r="E5" i="5"/>
  <c r="P1" i="5"/>
  <c r="Q1" i="5"/>
  <c r="R1" i="5"/>
  <c r="S1" i="5"/>
  <c r="T1" i="5"/>
  <c r="U1" i="5"/>
  <c r="V1" i="5"/>
  <c r="W1" i="5"/>
  <c r="X1" i="5"/>
  <c r="F1" i="5"/>
  <c r="D3" i="5"/>
  <c r="D4" i="5"/>
  <c r="D5" i="5"/>
  <c r="D6" i="5"/>
  <c r="D7" i="5"/>
  <c r="E7" i="5" s="1"/>
  <c r="D8" i="5"/>
  <c r="D9" i="5"/>
  <c r="D10" i="5"/>
  <c r="D11" i="5"/>
  <c r="D12" i="5"/>
  <c r="D13" i="5"/>
  <c r="D14" i="5"/>
  <c r="D15" i="5"/>
  <c r="D16" i="5"/>
  <c r="D17" i="5"/>
  <c r="E17" i="5" s="1"/>
  <c r="D18" i="5"/>
  <c r="D19" i="5"/>
  <c r="E19" i="5" s="1"/>
  <c r="D20" i="5"/>
  <c r="D21" i="5"/>
  <c r="D22" i="5"/>
  <c r="D23" i="5"/>
  <c r="D24" i="5"/>
  <c r="D25" i="5"/>
  <c r="D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E16" i="5" s="1"/>
  <c r="B17" i="5"/>
  <c r="B18" i="5"/>
  <c r="B19" i="5"/>
  <c r="B20" i="5"/>
  <c r="B21" i="5"/>
  <c r="B22" i="5"/>
  <c r="B23" i="5"/>
  <c r="B24" i="5"/>
  <c r="B25" i="5"/>
  <c r="B2" i="5"/>
  <c r="E22" i="5"/>
  <c r="E9" i="5"/>
  <c r="E1" i="4"/>
  <c r="B26" i="4" s="1"/>
  <c r="F3" i="5"/>
  <c r="R3" i="5"/>
  <c r="K4" i="5"/>
  <c r="W4" i="5"/>
  <c r="P5" i="5"/>
  <c r="I6" i="5"/>
  <c r="U6" i="5"/>
  <c r="N7" i="5"/>
  <c r="G8" i="5"/>
  <c r="S8" i="5"/>
  <c r="L9" i="5"/>
  <c r="X9" i="5"/>
  <c r="Q10" i="5"/>
  <c r="V11" i="5"/>
  <c r="O12" i="5"/>
  <c r="H13" i="5"/>
  <c r="M14" i="5"/>
  <c r="R15" i="5"/>
  <c r="W16" i="5"/>
  <c r="I18" i="5"/>
  <c r="N19" i="5"/>
  <c r="S20" i="5"/>
  <c r="X21" i="5"/>
  <c r="J23" i="5"/>
  <c r="O24" i="5"/>
  <c r="G3" i="5"/>
  <c r="S3" i="5"/>
  <c r="L4" i="5"/>
  <c r="X4" i="5"/>
  <c r="Q5" i="5"/>
  <c r="J6" i="5"/>
  <c r="V6" i="5"/>
  <c r="O7" i="5"/>
  <c r="H8" i="5"/>
  <c r="T8" i="5"/>
  <c r="M9" i="5"/>
  <c r="F10" i="5"/>
  <c r="R10" i="5"/>
  <c r="K11" i="5"/>
  <c r="W11" i="5"/>
  <c r="P12" i="5"/>
  <c r="I13" i="5"/>
  <c r="U13" i="5"/>
  <c r="N14" i="5"/>
  <c r="G15" i="5"/>
  <c r="S15" i="5"/>
  <c r="L16" i="5"/>
  <c r="X16" i="5"/>
  <c r="Q17" i="5"/>
  <c r="J18" i="5"/>
  <c r="V18" i="5"/>
  <c r="O19" i="5"/>
  <c r="H20" i="5"/>
  <c r="T20" i="5"/>
  <c r="M21" i="5"/>
  <c r="F22" i="5"/>
  <c r="R22" i="5"/>
  <c r="K23" i="5"/>
  <c r="W23" i="5"/>
  <c r="P24" i="5"/>
  <c r="I25" i="5"/>
  <c r="U25" i="5"/>
  <c r="O2" i="5"/>
  <c r="I10" i="5"/>
  <c r="L13" i="5"/>
  <c r="V15" i="5"/>
  <c r="M18" i="5"/>
  <c r="W20" i="5"/>
  <c r="U22" i="5"/>
  <c r="L25" i="5"/>
  <c r="X2" i="5"/>
  <c r="H3" i="5"/>
  <c r="T3" i="5"/>
  <c r="M4" i="5"/>
  <c r="F5" i="5"/>
  <c r="R5" i="5"/>
  <c r="K6" i="5"/>
  <c r="W6" i="5"/>
  <c r="P7" i="5"/>
  <c r="I8" i="5"/>
  <c r="U8" i="5"/>
  <c r="N9" i="5"/>
  <c r="G10" i="5"/>
  <c r="S10" i="5"/>
  <c r="L11" i="5"/>
  <c r="X11" i="5"/>
  <c r="Q12" i="5"/>
  <c r="J13" i="5"/>
  <c r="V13" i="5"/>
  <c r="O14" i="5"/>
  <c r="H15" i="5"/>
  <c r="T15" i="5"/>
  <c r="M16" i="5"/>
  <c r="F17" i="5"/>
  <c r="R17" i="5"/>
  <c r="K18" i="5"/>
  <c r="W18" i="5"/>
  <c r="P19" i="5"/>
  <c r="I20" i="5"/>
  <c r="U20" i="5"/>
  <c r="N21" i="5"/>
  <c r="G22" i="5"/>
  <c r="S22" i="5"/>
  <c r="L23" i="5"/>
  <c r="X23" i="5"/>
  <c r="Q24" i="5"/>
  <c r="J25" i="5"/>
  <c r="V25" i="5"/>
  <c r="P2" i="5"/>
  <c r="P9" i="5"/>
  <c r="X13" i="5"/>
  <c r="O16" i="5"/>
  <c r="F19" i="5"/>
  <c r="P21" i="5"/>
  <c r="N23" i="5"/>
  <c r="X25" i="5"/>
  <c r="I3" i="5"/>
  <c r="U3" i="5"/>
  <c r="N4" i="5"/>
  <c r="G5" i="5"/>
  <c r="S5" i="5"/>
  <c r="L6" i="5"/>
  <c r="X6" i="5"/>
  <c r="Q7" i="5"/>
  <c r="J8" i="5"/>
  <c r="V8" i="5"/>
  <c r="O9" i="5"/>
  <c r="H10" i="5"/>
  <c r="T10" i="5"/>
  <c r="M11" i="5"/>
  <c r="F12" i="5"/>
  <c r="R12" i="5"/>
  <c r="K13" i="5"/>
  <c r="W13" i="5"/>
  <c r="P14" i="5"/>
  <c r="I15" i="5"/>
  <c r="U15" i="5"/>
  <c r="N16" i="5"/>
  <c r="G17" i="5"/>
  <c r="S17" i="5"/>
  <c r="L18" i="5"/>
  <c r="X18" i="5"/>
  <c r="Q19" i="5"/>
  <c r="J20" i="5"/>
  <c r="V20" i="5"/>
  <c r="O21" i="5"/>
  <c r="H22" i="5"/>
  <c r="T22" i="5"/>
  <c r="M23" i="5"/>
  <c r="F24" i="5"/>
  <c r="R24" i="5"/>
  <c r="K25" i="5"/>
  <c r="W25" i="5"/>
  <c r="Q2" i="5"/>
  <c r="W8" i="5"/>
  <c r="Q14" i="5"/>
  <c r="H17" i="5"/>
  <c r="R19" i="5"/>
  <c r="I22" i="5"/>
  <c r="S24" i="5"/>
  <c r="R2" i="5"/>
  <c r="T25" i="5"/>
  <c r="J3" i="5"/>
  <c r="V3" i="5"/>
  <c r="O4" i="5"/>
  <c r="H5" i="5"/>
  <c r="T5" i="5"/>
  <c r="M6" i="5"/>
  <c r="F7" i="5"/>
  <c r="R7" i="5"/>
  <c r="K8" i="5"/>
  <c r="U10" i="5"/>
  <c r="N11" i="5"/>
  <c r="G12" i="5"/>
  <c r="S12" i="5"/>
  <c r="J15" i="5"/>
  <c r="T17" i="5"/>
  <c r="K20" i="5"/>
  <c r="G24" i="5"/>
  <c r="H25" i="5"/>
  <c r="K3" i="5"/>
  <c r="W3" i="5"/>
  <c r="P4" i="5"/>
  <c r="I5" i="5"/>
  <c r="U5" i="5"/>
  <c r="N6" i="5"/>
  <c r="G7" i="5"/>
  <c r="S7" i="5"/>
  <c r="L8" i="5"/>
  <c r="X8" i="5"/>
  <c r="Q9" i="5"/>
  <c r="J10" i="5"/>
  <c r="V10" i="5"/>
  <c r="O11" i="5"/>
  <c r="H12" i="5"/>
  <c r="T12" i="5"/>
  <c r="M13" i="5"/>
  <c r="F14" i="5"/>
  <c r="R14" i="5"/>
  <c r="K15" i="5"/>
  <c r="W15" i="5"/>
  <c r="P16" i="5"/>
  <c r="I17" i="5"/>
  <c r="U17" i="5"/>
  <c r="N18" i="5"/>
  <c r="G19" i="5"/>
  <c r="S19" i="5"/>
  <c r="L20" i="5"/>
  <c r="X20" i="5"/>
  <c r="Q21" i="5"/>
  <c r="J22" i="5"/>
  <c r="V22" i="5"/>
  <c r="O23" i="5"/>
  <c r="H24" i="5"/>
  <c r="T24" i="5"/>
  <c r="M25" i="5"/>
  <c r="G2" i="5"/>
  <c r="S2" i="5"/>
  <c r="G6" i="5"/>
  <c r="V9" i="5"/>
  <c r="F13" i="5"/>
  <c r="I16" i="5"/>
  <c r="X19" i="5"/>
  <c r="T23" i="5"/>
  <c r="L3" i="5"/>
  <c r="X3" i="5"/>
  <c r="Q4" i="5"/>
  <c r="J5" i="5"/>
  <c r="V5" i="5"/>
  <c r="O6" i="5"/>
  <c r="H7" i="5"/>
  <c r="T7" i="5"/>
  <c r="M8" i="5"/>
  <c r="F9" i="5"/>
  <c r="R9" i="5"/>
  <c r="K10" i="5"/>
  <c r="W10" i="5"/>
  <c r="P11" i="5"/>
  <c r="I12" i="5"/>
  <c r="U12" i="5"/>
  <c r="N13" i="5"/>
  <c r="G14" i="5"/>
  <c r="S14" i="5"/>
  <c r="L15" i="5"/>
  <c r="X15" i="5"/>
  <c r="Q16" i="5"/>
  <c r="J17" i="5"/>
  <c r="V17" i="5"/>
  <c r="O18" i="5"/>
  <c r="H19" i="5"/>
  <c r="T19" i="5"/>
  <c r="M20" i="5"/>
  <c r="F21" i="5"/>
  <c r="R21" i="5"/>
  <c r="K22" i="5"/>
  <c r="W22" i="5"/>
  <c r="P23" i="5"/>
  <c r="I24" i="5"/>
  <c r="U24" i="5"/>
  <c r="N25" i="5"/>
  <c r="H2" i="5"/>
  <c r="T2" i="5"/>
  <c r="N5" i="5"/>
  <c r="S6" i="5"/>
  <c r="X7" i="5"/>
  <c r="O10" i="5"/>
  <c r="R13" i="5"/>
  <c r="U16" i="5"/>
  <c r="L19" i="5"/>
  <c r="O22" i="5"/>
  <c r="R25" i="5"/>
  <c r="M3" i="5"/>
  <c r="F4" i="5"/>
  <c r="R4" i="5"/>
  <c r="K5" i="5"/>
  <c r="W5" i="5"/>
  <c r="P6" i="5"/>
  <c r="I7" i="5"/>
  <c r="U7" i="5"/>
  <c r="N8" i="5"/>
  <c r="G9" i="5"/>
  <c r="S9" i="5"/>
  <c r="L10" i="5"/>
  <c r="X10" i="5"/>
  <c r="Q11" i="5"/>
  <c r="J12" i="5"/>
  <c r="V12" i="5"/>
  <c r="O13" i="5"/>
  <c r="H14" i="5"/>
  <c r="T14" i="5"/>
  <c r="M15" i="5"/>
  <c r="F16" i="5"/>
  <c r="R16" i="5"/>
  <c r="K17" i="5"/>
  <c r="W17" i="5"/>
  <c r="P18" i="5"/>
  <c r="I19" i="5"/>
  <c r="U19" i="5"/>
  <c r="N20" i="5"/>
  <c r="G21" i="5"/>
  <c r="S21" i="5"/>
  <c r="L22" i="5"/>
  <c r="X22" i="5"/>
  <c r="Q23" i="5"/>
  <c r="J24" i="5"/>
  <c r="V24" i="5"/>
  <c r="O25" i="5"/>
  <c r="I2" i="5"/>
  <c r="U2" i="5"/>
  <c r="U4" i="5"/>
  <c r="J9" i="5"/>
  <c r="M12" i="5"/>
  <c r="W14" i="5"/>
  <c r="G18" i="5"/>
  <c r="Q20" i="5"/>
  <c r="H23" i="5"/>
  <c r="L2" i="5"/>
  <c r="N3" i="5"/>
  <c r="G4" i="5"/>
  <c r="S4" i="5"/>
  <c r="L5" i="5"/>
  <c r="X5" i="5"/>
  <c r="Q6" i="5"/>
  <c r="J7" i="5"/>
  <c r="V7" i="5"/>
  <c r="O8" i="5"/>
  <c r="H9" i="5"/>
  <c r="T9" i="5"/>
  <c r="M10" i="5"/>
  <c r="F11" i="5"/>
  <c r="R11" i="5"/>
  <c r="K12" i="5"/>
  <c r="W12" i="5"/>
  <c r="P13" i="5"/>
  <c r="I14" i="5"/>
  <c r="U14" i="5"/>
  <c r="N15" i="5"/>
  <c r="G16" i="5"/>
  <c r="S16" i="5"/>
  <c r="L17" i="5"/>
  <c r="X17" i="5"/>
  <c r="Q18" i="5"/>
  <c r="J19" i="5"/>
  <c r="V19" i="5"/>
  <c r="O20" i="5"/>
  <c r="H21" i="5"/>
  <c r="T21" i="5"/>
  <c r="M22" i="5"/>
  <c r="F23" i="5"/>
  <c r="R23" i="5"/>
  <c r="K24" i="5"/>
  <c r="W24" i="5"/>
  <c r="P25" i="5"/>
  <c r="J2" i="5"/>
  <c r="V2" i="5"/>
  <c r="I4" i="5"/>
  <c r="Q8" i="5"/>
  <c r="T11" i="5"/>
  <c r="P15" i="5"/>
  <c r="S18" i="5"/>
  <c r="V21" i="5"/>
  <c r="F25" i="5"/>
  <c r="O3" i="5"/>
  <c r="H4" i="5"/>
  <c r="T4" i="5"/>
  <c r="M5" i="5"/>
  <c r="F6" i="5"/>
  <c r="R6" i="5"/>
  <c r="K7" i="5"/>
  <c r="W7" i="5"/>
  <c r="P8" i="5"/>
  <c r="I9" i="5"/>
  <c r="U9" i="5"/>
  <c r="N10" i="5"/>
  <c r="G11" i="5"/>
  <c r="S11" i="5"/>
  <c r="L12" i="5"/>
  <c r="X12" i="5"/>
  <c r="Q13" i="5"/>
  <c r="J14" i="5"/>
  <c r="V14" i="5"/>
  <c r="O15" i="5"/>
  <c r="H16" i="5"/>
  <c r="T16" i="5"/>
  <c r="M17" i="5"/>
  <c r="F18" i="5"/>
  <c r="R18" i="5"/>
  <c r="K19" i="5"/>
  <c r="W19" i="5"/>
  <c r="P20" i="5"/>
  <c r="I21" i="5"/>
  <c r="U21" i="5"/>
  <c r="N22" i="5"/>
  <c r="G23" i="5"/>
  <c r="S23" i="5"/>
  <c r="L24" i="5"/>
  <c r="X24" i="5"/>
  <c r="Q25" i="5"/>
  <c r="K2" i="5"/>
  <c r="W2" i="5"/>
  <c r="P3" i="5"/>
  <c r="L7" i="5"/>
  <c r="H11" i="5"/>
  <c r="K14" i="5"/>
  <c r="N17" i="5"/>
  <c r="J21" i="5"/>
  <c r="M24" i="5"/>
  <c r="Q3" i="5"/>
  <c r="J4" i="5"/>
  <c r="V4" i="5"/>
  <c r="O5" i="5"/>
  <c r="H6" i="5"/>
  <c r="T6" i="5"/>
  <c r="M7" i="5"/>
  <c r="F8" i="5"/>
  <c r="R8" i="5"/>
  <c r="K9" i="5"/>
  <c r="W9" i="5"/>
  <c r="P10" i="5"/>
  <c r="I11" i="5"/>
  <c r="U11" i="5"/>
  <c r="N12" i="5"/>
  <c r="G13" i="5"/>
  <c r="S13" i="5"/>
  <c r="L14" i="5"/>
  <c r="X14" i="5"/>
  <c r="Q15" i="5"/>
  <c r="J16" i="5"/>
  <c r="V16" i="5"/>
  <c r="O17" i="5"/>
  <c r="H18" i="5"/>
  <c r="T18" i="5"/>
  <c r="M19" i="5"/>
  <c r="F20" i="5"/>
  <c r="R20" i="5"/>
  <c r="K21" i="5"/>
  <c r="W21" i="5"/>
  <c r="P22" i="5"/>
  <c r="I23" i="5"/>
  <c r="U23" i="5"/>
  <c r="N24" i="5"/>
  <c r="G25" i="5"/>
  <c r="S25" i="5"/>
  <c r="M2" i="5"/>
  <c r="F2" i="5"/>
  <c r="J11" i="5"/>
  <c r="T13" i="5"/>
  <c r="F15" i="5"/>
  <c r="K16" i="5"/>
  <c r="P17" i="5"/>
  <c r="U18" i="5"/>
  <c r="G20" i="5"/>
  <c r="L21" i="5"/>
  <c r="Q22" i="5"/>
  <c r="V23" i="5"/>
  <c r="N2" i="5"/>
  <c r="E11" i="5" l="1"/>
  <c r="E3" i="5"/>
  <c r="E23" i="5"/>
  <c r="E21" i="5"/>
  <c r="E13" i="5"/>
  <c r="E25" i="5"/>
  <c r="E14" i="5"/>
  <c r="E8" i="5"/>
  <c r="E15" i="5"/>
  <c r="E2" i="5"/>
  <c r="E12" i="5"/>
  <c r="E6" i="5"/>
  <c r="E20" i="5"/>
  <c r="E4" i="5"/>
  <c r="E10" i="5"/>
  <c r="E24" i="5"/>
  <c r="E18" i="5"/>
  <c r="B3" i="4"/>
  <c r="B15" i="4"/>
  <c r="B4" i="4"/>
  <c r="B16" i="4"/>
  <c r="B5" i="4"/>
  <c r="B17" i="4"/>
  <c r="B18" i="4"/>
  <c r="B6" i="4"/>
  <c r="B7" i="4"/>
  <c r="B19" i="4"/>
  <c r="B8" i="4"/>
  <c r="B20" i="4"/>
  <c r="B21" i="4"/>
  <c r="B9" i="4"/>
  <c r="B10" i="4"/>
  <c r="B22" i="4"/>
  <c r="B11" i="4"/>
  <c r="B23" i="4"/>
  <c r="B12" i="4"/>
  <c r="B24" i="4"/>
  <c r="B13" i="4"/>
  <c r="B25" i="4"/>
  <c r="B2" i="4"/>
  <c r="B14" i="4"/>
</calcChain>
</file>

<file path=xl/sharedStrings.xml><?xml version="1.0" encoding="utf-8"?>
<sst xmlns="http://schemas.openxmlformats.org/spreadsheetml/2006/main" count="79" uniqueCount="51">
  <si>
    <t>Exp</t>
  </si>
  <si>
    <t>Date</t>
  </si>
  <si>
    <t>Forward</t>
  </si>
  <si>
    <t>ATM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</si>
  <si>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</si>
  <si>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</si>
  <si>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</si>
  <si>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</si>
  <si>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</si>
  <si>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</si>
  <si>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</si>
  <si>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</si>
  <si>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</si>
  <si>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</si>
  <si>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</si>
  <si>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12M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</si>
  <si>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</si>
  <si>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</si>
  <si>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</si>
  <si>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</si>
  <si>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</si>
  <si>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</si>
  <si>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</si>
  <si>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</si>
  <si>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</si>
  <si>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</si>
  <si>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</si>
  <si>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24M</t>
  </si>
  <si>
    <t>Date</t>
    <phoneticPr fontId="3" type="noConversion"/>
  </si>
  <si>
    <t>Tenor</t>
    <phoneticPr fontId="3" type="noConversion"/>
  </si>
  <si>
    <t>Rate</t>
    <phoneticPr fontId="3" type="noConversion"/>
  </si>
  <si>
    <t>Annual Dividend Yield</t>
    <phoneticPr fontId="3" type="noConversion"/>
  </si>
  <si>
    <t>rf</t>
    <phoneticPr fontId="3" type="noConversion"/>
  </si>
  <si>
    <t>48.13</t>
  </si>
  <si>
    <t>57.76</t>
  </si>
  <si>
    <t>67.38</t>
  </si>
  <si>
    <t>72.19</t>
  </si>
  <si>
    <t>77.01</t>
  </si>
  <si>
    <t>81.82</t>
  </si>
  <si>
    <t>86.63</t>
  </si>
  <si>
    <t>91.45</t>
  </si>
  <si>
    <t>93.85</t>
  </si>
  <si>
    <t>98.67</t>
  </si>
  <si>
    <t>101.07</t>
  </si>
  <si>
    <t>105.89</t>
  </si>
  <si>
    <t>110.70</t>
  </si>
  <si>
    <t>115.51</t>
  </si>
  <si>
    <t>120.33</t>
  </si>
  <si>
    <t>125.14</t>
  </si>
  <si>
    <t>134.76</t>
  </si>
  <si>
    <t>144.39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</si>
</sst>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mmm\ dd\,\ yyyy"/>
    <numFmt numFmtId="177" formatCode="#,##0.000"/>
    <numFmt numFmtId="178" formatCode="0.0000"/>
    <numFmt numFmtId="179" formatCode="#,##0.0000"/>
    <numFmt numFmtId="180" formatCode="0.000%"/>
  </numFmts>
  <fonts count="4" x14ac:knownFonts="1"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E4E8ED"/>
        <bgColor rgb="FFE4E8ED"/>
      </patternFill>
    </fill>
    <fill>
      <patternFill patternType="solid">
        <fgColor rgb="FFFFFF00"/>
        <bgColor rgb="FFE4E8ED"/>
      </patternFill>
    </fill>
  </fills>
  <borders count="2">
    <border>
      <left/>
      <right/>
      <top/>
      <bottom/>
      <diagonal/>
    </border>
    <border>
      <left/>
      <right style="thin">
        <color rgb="FFB5B8BB"/>
      </right>
      <top/>
      <bottom style="thin">
        <color rgb="FFB5B8BB"/>
      </bottom>
      <diagonal/>
    </border>
  </borders>
  <cellStyleXfs count="2">
    <xf numFmtId="0" fontId="0" fillId="0" borderId="0" applyNumberFormat="0" applyBorder="0" applyAlignment="0"/>
    <xf numFmtId="9" fontId="2" fillId="0" borderId="0" applyFont="0" applyFill="0" applyBorder="0" applyAlignment="0" applyProtection="0">
      <alignment vertical="center"/>
    </xf>
  </cellStyleXfs>
  <cellXfs count="1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177" fontId="0" fillId="0" borderId="1" xfId="0" applyNumberFormat="1" applyBorder="1" applyAlignment="1">
      <alignment horizontal="right" vertical="center"/>
    </xf>
    <xf numFmtId="14" fontId="0" fillId="0" borderId="0" xfId="0" applyNumberFormat="1"/>
    <xf numFmtId="10" fontId="0" fillId="0" borderId="0" xfId="1" applyNumberFormat="1" applyFont="1" applyAlignment="1"/>
    <xf numFmtId="15" fontId="0" fillId="0" borderId="0" xfId="0" applyNumberFormat="1"/>
    <xf numFmtId="178" fontId="0" fillId="0" borderId="0" xfId="0" applyNumberFormat="1"/>
    <xf numFmtId="178" fontId="0" fillId="0" borderId="1" xfId="0" applyNumberFormat="1" applyBorder="1" applyAlignment="1">
      <alignment horizontal="left" vertical="center"/>
    </xf>
    <xf numFmtId="179" fontId="0" fillId="0" borderId="1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2" fontId="0" fillId="0" borderId="0" xfId="0" applyNumberFormat="1"/>
    <xf numFmtId="180" fontId="0" fillId="0" borderId="0" xfId="1" applyNumberFormat="1" applyFont="1" applyAlignment="1"/>
    <xf numFmtId="0" fontId="1" fillId="2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</cellXfs>
  <cellStyles count="2">
    <cellStyle name="Normal" xfId="0" builtinId="0"/>
    <cellStyle name="Percent 2" xfId="1" xr:uid="{F25DDA3C-BDA9-40DD-8B13-77D98F5B26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-0.499984740745262"/>
    <pageSetUpPr fitToPage="1"/>
  </sheetPr>
  <dimension ref="A1:V25"/>
  <sheetViews>
    <sheetView workbookViewId="0">
      <selection activeCell="E7" sqref="E7"/>
    </sheetView>
  </sheetViews>
  <sheetFormatPr defaultRowHeight="14.4" x14ac:dyDescent="0.3"/>
  <cols>
    <col min="1" max="1" width="5" customWidth="1"/>
    <col min="2" max="2" width="13.21875" customWidth="1"/>
    <col min="3" max="3" width="9.109375" customWidth="1"/>
    <col min="4" max="12" width="7.109375" customWidth="1"/>
    <col min="13" max="13" width="7.6640625" customWidth="1"/>
    <col min="14" max="22" width="8.21875" customWidth="1"/>
  </cols>
  <sheetData>
    <row r="1" spans="1:22" x14ac:dyDescent="0.3">
      <c r="A1" s="1" t="s">
        <v>0</v>
      </c>
      <c r="B1" s="1" t="s">
        <v>1</v>
      </c>
      <c r="C1" s="2" t="s">
        <v>2</v>
      </c>
      <c r="D1" s="15" t="s">
        <v>33</v>
      </c>
      <c r="E1" s="15" t="s">
        <v>34</v>
      </c>
      <c r="F1" s="15" t="s">
        <v>35</v>
      </c>
      <c r="G1" s="15" t="s">
        <v>36</v>
      </c>
      <c r="H1" s="15" t="s">
        <v>37</v>
      </c>
      <c r="I1" s="15" t="s">
        <v>38</v>
      </c>
      <c r="J1" s="15" t="s">
        <v>39</v>
      </c>
      <c r="K1" s="15" t="s">
        <v>40</v>
      </c>
      <c r="L1" s="15" t="s">
        <v>41</v>
      </c>
      <c r="M1" s="15" t="s">
        <v>3</v>
      </c>
      <c r="N1" s="15" t="s">
        <v>42</v>
      </c>
      <c r="O1" s="15" t="s">
        <v>43</v>
      </c>
      <c r="P1" s="15" t="s">
        <v>44</v>
      </c>
      <c r="Q1" s="15" t="s">
        <v>45</v>
      </c>
      <c r="R1" s="15" t="s">
        <v>46</v>
      </c>
      <c r="S1" s="15" t="s">
        <v>47</v>
      </c>
      <c r="T1" s="15" t="s">
        <v>48</v>
      </c>
      <c r="U1" s="15" t="s">
        <v>49</v>
      </c>
      <c r="V1" s="15" t="s">
        <v>50</v>
      </c>
    </row>
    <row r="2" spans="1:22" x14ac:dyDescent="0.3">
      <c r="A2" s="3" t="s">
        <v>4</v>
      </c>
      <c r="B2" s="4">
        <v>44907</v>
      </c>
      <c r="C2" s="5">
        <v>96.623000000000005</v>
      </c>
      <c r="D2" s="5">
        <v>77.096999999999994</v>
      </c>
      <c r="E2" s="5">
        <v>66.897999999999996</v>
      </c>
      <c r="F2" s="5">
        <v>57.039000000000001</v>
      </c>
      <c r="G2" s="5">
        <v>52.143999999999998</v>
      </c>
      <c r="H2" s="5">
        <v>47.250999999999998</v>
      </c>
      <c r="I2" s="5">
        <v>42.384</v>
      </c>
      <c r="J2" s="5">
        <v>37.655000000000001</v>
      </c>
      <c r="K2" s="5">
        <v>33.375</v>
      </c>
      <c r="L2" s="5">
        <v>31.588000000000001</v>
      </c>
      <c r="M2" s="5">
        <v>30.149000000000001</v>
      </c>
      <c r="N2" s="5">
        <v>29.103999999999999</v>
      </c>
      <c r="O2" s="5">
        <v>28.452000000000002</v>
      </c>
      <c r="P2" s="5">
        <v>28.184000000000001</v>
      </c>
      <c r="Q2" s="5">
        <v>28.896999999999998</v>
      </c>
      <c r="R2" s="5">
        <v>30.138999999999999</v>
      </c>
      <c r="S2" s="5">
        <v>31.614999999999998</v>
      </c>
      <c r="T2" s="5">
        <v>33.167000000000002</v>
      </c>
      <c r="U2" s="5">
        <v>36.216999999999999</v>
      </c>
      <c r="V2" s="5">
        <v>39.040999999999997</v>
      </c>
    </row>
    <row r="3" spans="1:22" x14ac:dyDescent="0.3">
      <c r="A3" s="3" t="s">
        <v>5</v>
      </c>
      <c r="B3" s="4">
        <v>44936</v>
      </c>
      <c r="C3" s="5">
        <v>96.978999999999999</v>
      </c>
      <c r="D3" s="5">
        <v>65.066000000000003</v>
      </c>
      <c r="E3" s="5">
        <v>57.133000000000003</v>
      </c>
      <c r="F3" s="5">
        <v>49.62</v>
      </c>
      <c r="G3" s="5">
        <v>45.972000000000001</v>
      </c>
      <c r="H3" s="5">
        <v>42.393999999999998</v>
      </c>
      <c r="I3" s="5">
        <v>38.912999999999997</v>
      </c>
      <c r="J3" s="5">
        <v>35.593000000000004</v>
      </c>
      <c r="K3" s="5">
        <v>32.566000000000003</v>
      </c>
      <c r="L3" s="5">
        <v>31.224</v>
      </c>
      <c r="M3" s="5">
        <v>30.033000000000001</v>
      </c>
      <c r="N3" s="5">
        <v>29.021999999999998</v>
      </c>
      <c r="O3" s="5">
        <v>28.209</v>
      </c>
      <c r="P3" s="5">
        <v>27.201000000000001</v>
      </c>
      <c r="Q3" s="5">
        <v>26.939</v>
      </c>
      <c r="R3" s="5">
        <v>27.242999999999999</v>
      </c>
      <c r="S3" s="5">
        <v>27.917000000000002</v>
      </c>
      <c r="T3" s="5">
        <v>28.808</v>
      </c>
      <c r="U3" s="5">
        <v>30.864999999999998</v>
      </c>
      <c r="V3" s="5">
        <v>32.976999999999997</v>
      </c>
    </row>
    <row r="4" spans="1:22" x14ac:dyDescent="0.3">
      <c r="A4" s="3" t="s">
        <v>6</v>
      </c>
      <c r="B4" s="4">
        <v>44967</v>
      </c>
      <c r="C4" s="5">
        <v>97.384</v>
      </c>
      <c r="D4" s="5">
        <v>59.8</v>
      </c>
      <c r="E4" s="5">
        <v>53.256</v>
      </c>
      <c r="F4" s="5">
        <v>47.152000000000001</v>
      </c>
      <c r="G4" s="5">
        <v>44.228000000000002</v>
      </c>
      <c r="H4" s="5">
        <v>41.387999999999998</v>
      </c>
      <c r="I4" s="5">
        <v>38.646000000000001</v>
      </c>
      <c r="J4" s="5">
        <v>36.039000000000001</v>
      </c>
      <c r="K4" s="5">
        <v>33.631</v>
      </c>
      <c r="L4" s="5">
        <v>32.530999999999999</v>
      </c>
      <c r="M4" s="5">
        <v>31.52</v>
      </c>
      <c r="N4" s="5">
        <v>30.611999999999998</v>
      </c>
      <c r="O4" s="5">
        <v>29.82</v>
      </c>
      <c r="P4" s="5">
        <v>28.620999999999999</v>
      </c>
      <c r="Q4" s="5">
        <v>27.945</v>
      </c>
      <c r="R4" s="5">
        <v>27.728000000000002</v>
      </c>
      <c r="S4" s="5">
        <v>27.864000000000001</v>
      </c>
      <c r="T4" s="5">
        <v>28.244</v>
      </c>
      <c r="U4" s="5">
        <v>29.405000000000001</v>
      </c>
      <c r="V4" s="5">
        <v>30.777999999999999</v>
      </c>
    </row>
    <row r="5" spans="1:22" x14ac:dyDescent="0.3">
      <c r="A5" s="3" t="s">
        <v>7</v>
      </c>
      <c r="B5" s="4">
        <v>44995</v>
      </c>
      <c r="C5" s="5">
        <v>97.762</v>
      </c>
      <c r="D5" s="5">
        <v>57.280999999999999</v>
      </c>
      <c r="E5" s="5">
        <v>51.542999999999999</v>
      </c>
      <c r="F5" s="5">
        <v>46.238999999999997</v>
      </c>
      <c r="G5" s="5">
        <v>43.715000000000003</v>
      </c>
      <c r="H5" s="5">
        <v>41.27</v>
      </c>
      <c r="I5" s="5">
        <v>38.911999999999999</v>
      </c>
      <c r="J5" s="5">
        <v>36.661999999999999</v>
      </c>
      <c r="K5" s="5">
        <v>34.558999999999997</v>
      </c>
      <c r="L5" s="5">
        <v>33.579000000000001</v>
      </c>
      <c r="M5" s="5">
        <v>32.661000000000001</v>
      </c>
      <c r="N5" s="5">
        <v>31.812999999999999</v>
      </c>
      <c r="O5" s="5">
        <v>31.047000000000001</v>
      </c>
      <c r="P5" s="5">
        <v>29.792999999999999</v>
      </c>
      <c r="Q5" s="5">
        <v>28.94</v>
      </c>
      <c r="R5" s="5">
        <v>28.471</v>
      </c>
      <c r="S5" s="5">
        <v>28.321999999999999</v>
      </c>
      <c r="T5" s="5">
        <v>28.41</v>
      </c>
      <c r="U5" s="5">
        <v>29.015999999999998</v>
      </c>
      <c r="V5" s="5">
        <v>29.898</v>
      </c>
    </row>
    <row r="6" spans="1:22" x14ac:dyDescent="0.3">
      <c r="A6" s="3" t="s">
        <v>8</v>
      </c>
      <c r="B6" s="4">
        <v>45026</v>
      </c>
      <c r="C6" s="5">
        <v>98.188999999999993</v>
      </c>
      <c r="D6" s="5">
        <v>54.066000000000003</v>
      </c>
      <c r="E6" s="5">
        <v>49.024999999999999</v>
      </c>
      <c r="F6" s="5">
        <v>44.372999999999998</v>
      </c>
      <c r="G6" s="5">
        <v>42.156999999999996</v>
      </c>
      <c r="H6" s="5">
        <v>40.005000000000003</v>
      </c>
      <c r="I6" s="5">
        <v>37.918999999999997</v>
      </c>
      <c r="J6" s="5">
        <v>35.908999999999999</v>
      </c>
      <c r="K6" s="5">
        <v>33.999000000000002</v>
      </c>
      <c r="L6" s="5">
        <v>33.095999999999997</v>
      </c>
      <c r="M6" s="5">
        <v>32.237000000000002</v>
      </c>
      <c r="N6" s="5">
        <v>31.434000000000001</v>
      </c>
      <c r="O6" s="5">
        <v>30.698</v>
      </c>
      <c r="P6" s="5">
        <v>29.472999999999999</v>
      </c>
      <c r="Q6" s="5">
        <v>28.623000000000001</v>
      </c>
      <c r="R6" s="5">
        <v>28.132000000000001</v>
      </c>
      <c r="S6" s="5">
        <v>27.922999999999998</v>
      </c>
      <c r="T6" s="5">
        <v>27.905000000000001</v>
      </c>
      <c r="U6" s="5">
        <v>28.190999999999999</v>
      </c>
      <c r="V6" s="5">
        <v>28.675000000000001</v>
      </c>
    </row>
    <row r="7" spans="1:22" x14ac:dyDescent="0.3">
      <c r="A7" s="3" t="s">
        <v>9</v>
      </c>
      <c r="B7" s="4">
        <v>45056</v>
      </c>
      <c r="C7" s="5">
        <v>98.608999999999995</v>
      </c>
      <c r="D7" s="5">
        <v>52.301000000000002</v>
      </c>
      <c r="E7" s="5">
        <v>47.658000000000001</v>
      </c>
      <c r="F7" s="5">
        <v>43.378</v>
      </c>
      <c r="G7" s="5">
        <v>41.338000000000001</v>
      </c>
      <c r="H7" s="5">
        <v>39.351999999999997</v>
      </c>
      <c r="I7" s="5">
        <v>37.42</v>
      </c>
      <c r="J7" s="5">
        <v>35.542999999999999</v>
      </c>
      <c r="K7" s="5">
        <v>33.738999999999997</v>
      </c>
      <c r="L7" s="5">
        <v>32.874000000000002</v>
      </c>
      <c r="M7" s="5">
        <v>32.042000000000002</v>
      </c>
      <c r="N7" s="5">
        <v>31.254000000000001</v>
      </c>
      <c r="O7" s="5">
        <v>30.52</v>
      </c>
      <c r="P7" s="5">
        <v>29.274000000000001</v>
      </c>
      <c r="Q7" s="5">
        <v>28.405000000000001</v>
      </c>
      <c r="R7" s="5">
        <v>27.922999999999998</v>
      </c>
      <c r="S7" s="5">
        <v>27.731000000000002</v>
      </c>
      <c r="T7" s="5">
        <v>27.716000000000001</v>
      </c>
      <c r="U7" s="5">
        <v>27.943999999999999</v>
      </c>
      <c r="V7" s="5">
        <v>28.312000000000001</v>
      </c>
    </row>
    <row r="8" spans="1:22" x14ac:dyDescent="0.3">
      <c r="A8" s="3" t="s">
        <v>10</v>
      </c>
      <c r="B8" s="4">
        <v>45089</v>
      </c>
      <c r="C8" s="5">
        <v>99.075999999999993</v>
      </c>
      <c r="D8" s="5">
        <v>51.307000000000002</v>
      </c>
      <c r="E8" s="5">
        <v>46.923999999999999</v>
      </c>
      <c r="F8" s="5">
        <v>42.89</v>
      </c>
      <c r="G8" s="5">
        <v>40.966000000000001</v>
      </c>
      <c r="H8" s="5">
        <v>39.093000000000004</v>
      </c>
      <c r="I8" s="5">
        <v>37.264000000000003</v>
      </c>
      <c r="J8" s="5">
        <v>35.478000000000002</v>
      </c>
      <c r="K8" s="5">
        <v>33.744</v>
      </c>
      <c r="L8" s="5">
        <v>32.902999999999999</v>
      </c>
      <c r="M8" s="5">
        <v>32.085000000000001</v>
      </c>
      <c r="N8" s="5">
        <v>31.298999999999999</v>
      </c>
      <c r="O8" s="5">
        <v>30.556000000000001</v>
      </c>
      <c r="P8" s="5">
        <v>29.265000000000001</v>
      </c>
      <c r="Q8" s="5">
        <v>28.355</v>
      </c>
      <c r="R8" s="5">
        <v>27.873999999999999</v>
      </c>
      <c r="S8" s="5">
        <v>27.709</v>
      </c>
      <c r="T8" s="5">
        <v>27.722999999999999</v>
      </c>
      <c r="U8" s="5">
        <v>27.981000000000002</v>
      </c>
      <c r="V8" s="5">
        <v>28.347999999999999</v>
      </c>
    </row>
    <row r="9" spans="1:22" x14ac:dyDescent="0.3">
      <c r="A9" s="3" t="s">
        <v>11</v>
      </c>
      <c r="B9" s="4">
        <v>45117</v>
      </c>
      <c r="C9" s="5">
        <v>99.472999999999999</v>
      </c>
      <c r="D9" s="5">
        <v>50.573</v>
      </c>
      <c r="E9" s="5">
        <v>46.366</v>
      </c>
      <c r="F9" s="5">
        <v>42.5</v>
      </c>
      <c r="G9" s="5">
        <v>40.661000000000001</v>
      </c>
      <c r="H9" s="5">
        <v>38.871000000000002</v>
      </c>
      <c r="I9" s="5">
        <v>37.125</v>
      </c>
      <c r="J9" s="5">
        <v>35.420999999999999</v>
      </c>
      <c r="K9" s="5">
        <v>33.765000000000001</v>
      </c>
      <c r="L9" s="5">
        <v>32.96</v>
      </c>
      <c r="M9" s="5">
        <v>32.173999999999999</v>
      </c>
      <c r="N9" s="5">
        <v>31.416</v>
      </c>
      <c r="O9" s="5">
        <v>30.693999999999999</v>
      </c>
      <c r="P9" s="5">
        <v>29.414000000000001</v>
      </c>
      <c r="Q9" s="5">
        <v>28.457999999999998</v>
      </c>
      <c r="R9" s="5">
        <v>27.882000000000001</v>
      </c>
      <c r="S9" s="5">
        <v>27.609000000000002</v>
      </c>
      <c r="T9" s="5">
        <v>27.533000000000001</v>
      </c>
      <c r="U9" s="5">
        <v>27.681999999999999</v>
      </c>
      <c r="V9" s="5">
        <v>27.986999999999998</v>
      </c>
    </row>
    <row r="10" spans="1:22" x14ac:dyDescent="0.3">
      <c r="A10" s="3" t="s">
        <v>12</v>
      </c>
      <c r="B10" s="4">
        <v>45148</v>
      </c>
      <c r="C10" s="5">
        <v>99.912000000000006</v>
      </c>
      <c r="D10" s="5">
        <v>49.912999999999997</v>
      </c>
      <c r="E10" s="5">
        <v>45.860999999999997</v>
      </c>
      <c r="F10" s="5">
        <v>42.146999999999998</v>
      </c>
      <c r="G10" s="5">
        <v>40.383000000000003</v>
      </c>
      <c r="H10" s="5">
        <v>38.668999999999997</v>
      </c>
      <c r="I10" s="5">
        <v>36.997999999999998</v>
      </c>
      <c r="J10" s="5">
        <v>35.369</v>
      </c>
      <c r="K10" s="5">
        <v>33.786000000000001</v>
      </c>
      <c r="L10" s="5">
        <v>33.015000000000001</v>
      </c>
      <c r="M10" s="5">
        <v>32.262</v>
      </c>
      <c r="N10" s="5">
        <v>31.532</v>
      </c>
      <c r="O10" s="5">
        <v>30.832000000000001</v>
      </c>
      <c r="P10" s="5">
        <v>29.567</v>
      </c>
      <c r="Q10" s="5">
        <v>28.57</v>
      </c>
      <c r="R10" s="5">
        <v>27.896000000000001</v>
      </c>
      <c r="S10" s="5">
        <v>27.507999999999999</v>
      </c>
      <c r="T10" s="5">
        <v>27.335999999999999</v>
      </c>
      <c r="U10" s="5">
        <v>27.366</v>
      </c>
      <c r="V10" s="5">
        <v>27.606000000000002</v>
      </c>
    </row>
    <row r="11" spans="1:22" x14ac:dyDescent="0.3">
      <c r="A11" s="3" t="s">
        <v>13</v>
      </c>
      <c r="B11" s="4">
        <v>45180</v>
      </c>
      <c r="C11" s="5">
        <v>100.36</v>
      </c>
      <c r="D11" s="5">
        <v>49.365000000000002</v>
      </c>
      <c r="E11" s="5">
        <v>45.442999999999998</v>
      </c>
      <c r="F11" s="5">
        <v>41.856000000000002</v>
      </c>
      <c r="G11" s="5">
        <v>40.154000000000003</v>
      </c>
      <c r="H11" s="5">
        <v>38.502000000000002</v>
      </c>
      <c r="I11" s="5">
        <v>36.893999999999998</v>
      </c>
      <c r="J11" s="5">
        <v>35.326999999999998</v>
      </c>
      <c r="K11" s="5">
        <v>33.802999999999997</v>
      </c>
      <c r="L11" s="5">
        <v>33.06</v>
      </c>
      <c r="M11" s="5">
        <v>32.332999999999998</v>
      </c>
      <c r="N11" s="5">
        <v>31.626000000000001</v>
      </c>
      <c r="O11" s="5">
        <v>30.943999999999999</v>
      </c>
      <c r="P11" s="5">
        <v>29.692</v>
      </c>
      <c r="Q11" s="5">
        <v>28.661000000000001</v>
      </c>
      <c r="R11" s="5">
        <v>27.907</v>
      </c>
      <c r="S11" s="5">
        <v>27.425000000000001</v>
      </c>
      <c r="T11" s="5">
        <v>27.172999999999998</v>
      </c>
      <c r="U11" s="5">
        <v>27.103999999999999</v>
      </c>
      <c r="V11" s="5">
        <v>27.29</v>
      </c>
    </row>
    <row r="12" spans="1:22" x14ac:dyDescent="0.3">
      <c r="A12" s="3" t="s">
        <v>14</v>
      </c>
      <c r="B12" s="4">
        <v>45209</v>
      </c>
      <c r="C12" s="5">
        <v>100.76</v>
      </c>
      <c r="D12" s="5">
        <v>48.954999999999998</v>
      </c>
      <c r="E12" s="5">
        <v>45.131</v>
      </c>
      <c r="F12" s="5">
        <v>41.637999999999998</v>
      </c>
      <c r="G12" s="5">
        <v>39.982999999999997</v>
      </c>
      <c r="H12" s="5">
        <v>38.378</v>
      </c>
      <c r="I12" s="5">
        <v>36.816000000000003</v>
      </c>
      <c r="J12" s="5">
        <v>35.295000000000002</v>
      </c>
      <c r="K12" s="5">
        <v>33.814999999999998</v>
      </c>
      <c r="L12" s="5">
        <v>33.093000000000004</v>
      </c>
      <c r="M12" s="5">
        <v>32.386000000000003</v>
      </c>
      <c r="N12" s="5">
        <v>31.695</v>
      </c>
      <c r="O12" s="5">
        <v>31.027000000000001</v>
      </c>
      <c r="P12" s="5">
        <v>29.785</v>
      </c>
      <c r="Q12" s="5">
        <v>28.728000000000002</v>
      </c>
      <c r="R12" s="5">
        <v>27.914999999999999</v>
      </c>
      <c r="S12" s="5">
        <v>27.363</v>
      </c>
      <c r="T12" s="5">
        <v>27.052</v>
      </c>
      <c r="U12" s="5">
        <v>26.908999999999999</v>
      </c>
      <c r="V12" s="5">
        <v>27.053000000000001</v>
      </c>
    </row>
    <row r="13" spans="1:22" x14ac:dyDescent="0.3">
      <c r="A13" s="3" t="s">
        <v>15</v>
      </c>
      <c r="B13" s="4">
        <v>45240</v>
      </c>
      <c r="C13" s="5">
        <v>101.182</v>
      </c>
      <c r="D13" s="5">
        <v>48.585999999999999</v>
      </c>
      <c r="E13" s="5">
        <v>44.850999999999999</v>
      </c>
      <c r="F13" s="5">
        <v>41.442999999999998</v>
      </c>
      <c r="G13" s="5">
        <v>39.83</v>
      </c>
      <c r="H13" s="5">
        <v>38.267000000000003</v>
      </c>
      <c r="I13" s="5">
        <v>36.747</v>
      </c>
      <c r="J13" s="5">
        <v>35.267000000000003</v>
      </c>
      <c r="K13" s="5">
        <v>33.826999999999998</v>
      </c>
      <c r="L13" s="5">
        <v>33.122999999999998</v>
      </c>
      <c r="M13" s="5">
        <v>32.433</v>
      </c>
      <c r="N13" s="5">
        <v>31.757000000000001</v>
      </c>
      <c r="O13" s="5">
        <v>31.100999999999999</v>
      </c>
      <c r="P13" s="5">
        <v>29.867000000000001</v>
      </c>
      <c r="Q13" s="5">
        <v>28.788</v>
      </c>
      <c r="R13" s="5">
        <v>27.922000000000001</v>
      </c>
      <c r="S13" s="5">
        <v>27.308</v>
      </c>
      <c r="T13" s="5">
        <v>26.943999999999999</v>
      </c>
      <c r="U13" s="5">
        <v>26.733000000000001</v>
      </c>
      <c r="V13" s="5">
        <v>26.84</v>
      </c>
    </row>
    <row r="14" spans="1:22" x14ac:dyDescent="0.3">
      <c r="A14" s="3" t="s">
        <v>16</v>
      </c>
      <c r="B14" s="4">
        <v>45271</v>
      </c>
      <c r="C14" s="5">
        <v>101.595</v>
      </c>
      <c r="D14" s="5">
        <v>48.273000000000003</v>
      </c>
      <c r="E14" s="5">
        <v>44.613</v>
      </c>
      <c r="F14" s="5">
        <v>41.277999999999999</v>
      </c>
      <c r="G14" s="5">
        <v>39.701000000000001</v>
      </c>
      <c r="H14" s="5">
        <v>38.173000000000002</v>
      </c>
      <c r="I14" s="5">
        <v>36.688000000000002</v>
      </c>
      <c r="J14" s="5">
        <v>35.243000000000002</v>
      </c>
      <c r="K14" s="5">
        <v>33.835999999999999</v>
      </c>
      <c r="L14" s="5">
        <v>33.148000000000003</v>
      </c>
      <c r="M14" s="5">
        <v>32.472000000000001</v>
      </c>
      <c r="N14" s="5">
        <v>31.81</v>
      </c>
      <c r="O14" s="5">
        <v>31.163</v>
      </c>
      <c r="P14" s="5">
        <v>29.937000000000001</v>
      </c>
      <c r="Q14" s="5">
        <v>28.838000000000001</v>
      </c>
      <c r="R14" s="5">
        <v>27.928000000000001</v>
      </c>
      <c r="S14" s="5">
        <v>27.262</v>
      </c>
      <c r="T14" s="5">
        <v>26.852</v>
      </c>
      <c r="U14" s="5">
        <v>26.584</v>
      </c>
      <c r="V14" s="5">
        <v>26.658999999999999</v>
      </c>
    </row>
    <row r="15" spans="1:22" x14ac:dyDescent="0.3">
      <c r="A15" s="3" t="s">
        <v>17</v>
      </c>
      <c r="B15" s="4">
        <v>45301</v>
      </c>
      <c r="C15" s="5">
        <v>101.98699999999999</v>
      </c>
      <c r="D15" s="5">
        <v>48.012</v>
      </c>
      <c r="E15" s="5">
        <v>44.414999999999999</v>
      </c>
      <c r="F15" s="5">
        <v>41.14</v>
      </c>
      <c r="G15" s="5">
        <v>39.593000000000004</v>
      </c>
      <c r="H15" s="5">
        <v>38.094999999999999</v>
      </c>
      <c r="I15" s="5">
        <v>36.64</v>
      </c>
      <c r="J15" s="5">
        <v>35.222999999999999</v>
      </c>
      <c r="K15" s="5">
        <v>33.844000000000001</v>
      </c>
      <c r="L15" s="5">
        <v>33.168999999999997</v>
      </c>
      <c r="M15" s="5">
        <v>32.505000000000003</v>
      </c>
      <c r="N15" s="5">
        <v>31.853000000000002</v>
      </c>
      <c r="O15" s="5">
        <v>31.215</v>
      </c>
      <c r="P15" s="5">
        <v>29.994</v>
      </c>
      <c r="Q15" s="5">
        <v>28.88</v>
      </c>
      <c r="R15" s="5">
        <v>27.933</v>
      </c>
      <c r="S15" s="5">
        <v>27.222999999999999</v>
      </c>
      <c r="T15" s="5">
        <v>26.774999999999999</v>
      </c>
      <c r="U15" s="5">
        <v>26.46</v>
      </c>
      <c r="V15" s="5">
        <v>26.507999999999999</v>
      </c>
    </row>
    <row r="16" spans="1:22" x14ac:dyDescent="0.3">
      <c r="A16" s="3" t="s">
        <v>18</v>
      </c>
      <c r="B16" s="4">
        <v>45334</v>
      </c>
      <c r="C16" s="5">
        <v>102.411</v>
      </c>
      <c r="D16" s="5">
        <v>47.569000000000003</v>
      </c>
      <c r="E16" s="5">
        <v>44.072000000000003</v>
      </c>
      <c r="F16" s="5">
        <v>40.892000000000003</v>
      </c>
      <c r="G16" s="5">
        <v>39.390999999999998</v>
      </c>
      <c r="H16" s="5">
        <v>37.938000000000002</v>
      </c>
      <c r="I16" s="5">
        <v>36.527000000000001</v>
      </c>
      <c r="J16" s="5">
        <v>35.155000000000001</v>
      </c>
      <c r="K16" s="5">
        <v>33.819000000000003</v>
      </c>
      <c r="L16" s="5">
        <v>33.164999999999999</v>
      </c>
      <c r="M16" s="5">
        <v>32.521000000000001</v>
      </c>
      <c r="N16" s="5">
        <v>31.887</v>
      </c>
      <c r="O16" s="5">
        <v>31.265999999999998</v>
      </c>
      <c r="P16" s="5">
        <v>30.071999999999999</v>
      </c>
      <c r="Q16" s="5">
        <v>28.969000000000001</v>
      </c>
      <c r="R16" s="5">
        <v>28.01</v>
      </c>
      <c r="S16" s="5">
        <v>27.257999999999999</v>
      </c>
      <c r="T16" s="5">
        <v>26.742000000000001</v>
      </c>
      <c r="U16" s="5">
        <v>26.234999999999999</v>
      </c>
      <c r="V16" s="5">
        <v>26.07</v>
      </c>
    </row>
    <row r="17" spans="1:22" x14ac:dyDescent="0.3">
      <c r="A17" s="3" t="s">
        <v>19</v>
      </c>
      <c r="B17" s="4">
        <v>45362</v>
      </c>
      <c r="C17" s="5">
        <v>102.76300000000001</v>
      </c>
      <c r="D17" s="5">
        <v>47.179000000000002</v>
      </c>
      <c r="E17" s="5">
        <v>43.768000000000001</v>
      </c>
      <c r="F17" s="5">
        <v>40.67</v>
      </c>
      <c r="G17" s="5">
        <v>39.209000000000003</v>
      </c>
      <c r="H17" s="5">
        <v>37.795999999999999</v>
      </c>
      <c r="I17" s="5">
        <v>36.423999999999999</v>
      </c>
      <c r="J17" s="5">
        <v>35.090000000000003</v>
      </c>
      <c r="K17" s="5">
        <v>33.790999999999997</v>
      </c>
      <c r="L17" s="5">
        <v>33.154000000000003</v>
      </c>
      <c r="M17" s="5">
        <v>32.527999999999999</v>
      </c>
      <c r="N17" s="5">
        <v>31.911000000000001</v>
      </c>
      <c r="O17" s="5">
        <v>31.305</v>
      </c>
      <c r="P17" s="5">
        <v>30.137</v>
      </c>
      <c r="Q17" s="5">
        <v>29.05</v>
      </c>
      <c r="R17" s="5">
        <v>28.088000000000001</v>
      </c>
      <c r="S17" s="5">
        <v>27.306000000000001</v>
      </c>
      <c r="T17" s="5">
        <v>26.728000000000002</v>
      </c>
      <c r="U17" s="5">
        <v>26.035</v>
      </c>
      <c r="V17" s="5">
        <v>25.65</v>
      </c>
    </row>
    <row r="18" spans="1:22" x14ac:dyDescent="0.3">
      <c r="A18" s="3" t="s">
        <v>20</v>
      </c>
      <c r="B18" s="4">
        <v>45392</v>
      </c>
      <c r="C18" s="5">
        <v>103.13500000000001</v>
      </c>
      <c r="D18" s="5">
        <v>46.805</v>
      </c>
      <c r="E18" s="5">
        <v>43.478000000000002</v>
      </c>
      <c r="F18" s="5">
        <v>40.459000000000003</v>
      </c>
      <c r="G18" s="5">
        <v>39.036000000000001</v>
      </c>
      <c r="H18" s="5">
        <v>37.659999999999997</v>
      </c>
      <c r="I18" s="5">
        <v>36.326000000000001</v>
      </c>
      <c r="J18" s="5">
        <v>35.027999999999999</v>
      </c>
      <c r="K18" s="5">
        <v>33.764000000000003</v>
      </c>
      <c r="L18" s="5">
        <v>33.145000000000003</v>
      </c>
      <c r="M18" s="5">
        <v>32.533999999999999</v>
      </c>
      <c r="N18" s="5">
        <v>31.933</v>
      </c>
      <c r="O18" s="5">
        <v>31.341999999999999</v>
      </c>
      <c r="P18" s="5">
        <v>30.199000000000002</v>
      </c>
      <c r="Q18" s="5">
        <v>29.126000000000001</v>
      </c>
      <c r="R18" s="5">
        <v>28.161999999999999</v>
      </c>
      <c r="S18" s="5">
        <v>27.352</v>
      </c>
      <c r="T18" s="5">
        <v>26.716000000000001</v>
      </c>
      <c r="U18" s="5">
        <v>25.844000000000001</v>
      </c>
      <c r="V18" s="5">
        <v>25.244</v>
      </c>
    </row>
    <row r="19" spans="1:22" x14ac:dyDescent="0.3">
      <c r="A19" s="3" t="s">
        <v>21</v>
      </c>
      <c r="B19" s="4">
        <v>45422</v>
      </c>
      <c r="C19" s="5">
        <v>103.501</v>
      </c>
      <c r="D19" s="5">
        <v>46.469000000000001</v>
      </c>
      <c r="E19" s="5">
        <v>43.216999999999999</v>
      </c>
      <c r="F19" s="5">
        <v>40.268999999999998</v>
      </c>
      <c r="G19" s="5">
        <v>38.881</v>
      </c>
      <c r="H19" s="5">
        <v>37.539000000000001</v>
      </c>
      <c r="I19" s="5">
        <v>36.238</v>
      </c>
      <c r="J19" s="5">
        <v>34.972000000000001</v>
      </c>
      <c r="K19" s="5">
        <v>33.74</v>
      </c>
      <c r="L19" s="5">
        <v>33.136000000000003</v>
      </c>
      <c r="M19" s="5">
        <v>32.54</v>
      </c>
      <c r="N19" s="5">
        <v>31.952999999999999</v>
      </c>
      <c r="O19" s="5">
        <v>31.375</v>
      </c>
      <c r="P19" s="5">
        <v>30.254000000000001</v>
      </c>
      <c r="Q19" s="5">
        <v>29.193999999999999</v>
      </c>
      <c r="R19" s="5">
        <v>28.228000000000002</v>
      </c>
      <c r="S19" s="5">
        <v>27.391999999999999</v>
      </c>
      <c r="T19" s="5">
        <v>26.704999999999998</v>
      </c>
      <c r="U19" s="5">
        <v>25.672000000000001</v>
      </c>
      <c r="V19" s="5">
        <v>24.876999999999999</v>
      </c>
    </row>
    <row r="20" spans="1:22" x14ac:dyDescent="0.3">
      <c r="A20" s="3" t="s">
        <v>22</v>
      </c>
      <c r="B20" s="4">
        <v>45453</v>
      </c>
      <c r="C20" s="5">
        <v>103.872</v>
      </c>
      <c r="D20" s="5">
        <v>46.156999999999996</v>
      </c>
      <c r="E20" s="5">
        <v>42.975000000000001</v>
      </c>
      <c r="F20" s="5">
        <v>40.094000000000001</v>
      </c>
      <c r="G20" s="5">
        <v>38.737000000000002</v>
      </c>
      <c r="H20" s="5">
        <v>37.427</v>
      </c>
      <c r="I20" s="5">
        <v>36.155999999999999</v>
      </c>
      <c r="J20" s="5">
        <v>34.920999999999999</v>
      </c>
      <c r="K20" s="5">
        <v>33.718000000000004</v>
      </c>
      <c r="L20" s="5">
        <v>33.128</v>
      </c>
      <c r="M20" s="5">
        <v>32.545000000000002</v>
      </c>
      <c r="N20" s="5">
        <v>31.971</v>
      </c>
      <c r="O20" s="5">
        <v>31.405999999999999</v>
      </c>
      <c r="P20" s="5">
        <v>30.305</v>
      </c>
      <c r="Q20" s="5">
        <v>29.257000000000001</v>
      </c>
      <c r="R20" s="5">
        <v>28.288</v>
      </c>
      <c r="S20" s="5">
        <v>27.428999999999998</v>
      </c>
      <c r="T20" s="5">
        <v>26.695</v>
      </c>
      <c r="U20" s="5">
        <v>25.512</v>
      </c>
      <c r="V20" s="5">
        <v>24.533000000000001</v>
      </c>
    </row>
    <row r="21" spans="1:22" x14ac:dyDescent="0.3">
      <c r="A21" s="3" t="s">
        <v>23</v>
      </c>
      <c r="B21" s="4">
        <v>45483</v>
      </c>
      <c r="C21" s="5">
        <v>104.227</v>
      </c>
      <c r="D21" s="5">
        <v>45.884</v>
      </c>
      <c r="E21" s="5">
        <v>42.762999999999998</v>
      </c>
      <c r="F21" s="5">
        <v>39.94</v>
      </c>
      <c r="G21" s="5">
        <v>38.612000000000002</v>
      </c>
      <c r="H21" s="5">
        <v>37.329000000000001</v>
      </c>
      <c r="I21" s="5">
        <v>36.085000000000001</v>
      </c>
      <c r="J21" s="5">
        <v>34.875999999999998</v>
      </c>
      <c r="K21" s="5">
        <v>33.698</v>
      </c>
      <c r="L21" s="5">
        <v>33.121000000000002</v>
      </c>
      <c r="M21" s="5">
        <v>32.549999999999997</v>
      </c>
      <c r="N21" s="5">
        <v>31.986999999999998</v>
      </c>
      <c r="O21" s="5">
        <v>31.431999999999999</v>
      </c>
      <c r="P21" s="5">
        <v>30.349</v>
      </c>
      <c r="Q21" s="5">
        <v>29.312000000000001</v>
      </c>
      <c r="R21" s="5">
        <v>28.341000000000001</v>
      </c>
      <c r="S21" s="5">
        <v>27.462</v>
      </c>
      <c r="T21" s="5">
        <v>26.686</v>
      </c>
      <c r="U21" s="5">
        <v>25.372</v>
      </c>
      <c r="V21" s="5">
        <v>24.228999999999999</v>
      </c>
    </row>
    <row r="22" spans="1:22" x14ac:dyDescent="0.3">
      <c r="A22" s="3" t="s">
        <v>24</v>
      </c>
      <c r="B22" s="4">
        <v>45516</v>
      </c>
      <c r="C22" s="5">
        <v>104.61</v>
      </c>
      <c r="D22" s="5">
        <v>45.610999999999997</v>
      </c>
      <c r="E22" s="5">
        <v>42.552</v>
      </c>
      <c r="F22" s="5">
        <v>39.786999999999999</v>
      </c>
      <c r="G22" s="5">
        <v>38.487000000000002</v>
      </c>
      <c r="H22" s="5">
        <v>37.231000000000002</v>
      </c>
      <c r="I22" s="5">
        <v>36.015000000000001</v>
      </c>
      <c r="J22" s="5">
        <v>34.832000000000001</v>
      </c>
      <c r="K22" s="5">
        <v>33.679000000000002</v>
      </c>
      <c r="L22" s="5">
        <v>33.113</v>
      </c>
      <c r="M22" s="5">
        <v>32.555</v>
      </c>
      <c r="N22" s="5">
        <v>32.003</v>
      </c>
      <c r="O22" s="5">
        <v>31.457999999999998</v>
      </c>
      <c r="P22" s="5">
        <v>30.391999999999999</v>
      </c>
      <c r="Q22" s="5">
        <v>29.366</v>
      </c>
      <c r="R22" s="5">
        <v>28.393000000000001</v>
      </c>
      <c r="S22" s="5">
        <v>27.494</v>
      </c>
      <c r="T22" s="5">
        <v>26.677</v>
      </c>
      <c r="U22" s="5">
        <v>25.231999999999999</v>
      </c>
      <c r="V22" s="5">
        <v>23.923999999999999</v>
      </c>
    </row>
    <row r="23" spans="1:22" x14ac:dyDescent="0.3">
      <c r="A23" s="3" t="s">
        <v>25</v>
      </c>
      <c r="B23" s="4">
        <v>45545</v>
      </c>
      <c r="C23" s="5">
        <v>104.943</v>
      </c>
      <c r="D23" s="5">
        <v>45.392000000000003</v>
      </c>
      <c r="E23" s="5">
        <v>42.383000000000003</v>
      </c>
      <c r="F23" s="5">
        <v>39.664000000000001</v>
      </c>
      <c r="G23" s="5">
        <v>38.387</v>
      </c>
      <c r="H23" s="5">
        <v>37.154000000000003</v>
      </c>
      <c r="I23" s="5">
        <v>35.957999999999998</v>
      </c>
      <c r="J23" s="5">
        <v>34.795999999999999</v>
      </c>
      <c r="K23" s="5">
        <v>33.664000000000001</v>
      </c>
      <c r="L23" s="5">
        <v>33.107999999999997</v>
      </c>
      <c r="M23" s="5">
        <v>32.558</v>
      </c>
      <c r="N23" s="5">
        <v>32.015000000000001</v>
      </c>
      <c r="O23" s="5">
        <v>31.478999999999999</v>
      </c>
      <c r="P23" s="5">
        <v>30.427</v>
      </c>
      <c r="Q23" s="5">
        <v>29.408999999999999</v>
      </c>
      <c r="R23" s="5">
        <v>28.434999999999999</v>
      </c>
      <c r="S23" s="5">
        <v>27.52</v>
      </c>
      <c r="T23" s="5">
        <v>26.67</v>
      </c>
      <c r="U23" s="5">
        <v>25.12</v>
      </c>
      <c r="V23" s="5">
        <v>23.678000000000001</v>
      </c>
    </row>
    <row r="24" spans="1:22" x14ac:dyDescent="0.3">
      <c r="A24" s="3" t="s">
        <v>26</v>
      </c>
      <c r="B24" s="4">
        <v>45575</v>
      </c>
      <c r="C24" s="5">
        <v>105.282</v>
      </c>
      <c r="D24" s="5">
        <v>45.183</v>
      </c>
      <c r="E24" s="5">
        <v>42.222000000000001</v>
      </c>
      <c r="F24" s="5">
        <v>39.548000000000002</v>
      </c>
      <c r="G24" s="5">
        <v>38.292000000000002</v>
      </c>
      <c r="H24" s="5">
        <v>37.08</v>
      </c>
      <c r="I24" s="5">
        <v>35.905000000000001</v>
      </c>
      <c r="J24" s="5">
        <v>34.762999999999998</v>
      </c>
      <c r="K24" s="5">
        <v>33.649000000000001</v>
      </c>
      <c r="L24" s="5">
        <v>33.103000000000002</v>
      </c>
      <c r="M24" s="5">
        <v>32.561999999999998</v>
      </c>
      <c r="N24" s="5">
        <v>32.027000000000001</v>
      </c>
      <c r="O24" s="5">
        <v>31.498999999999999</v>
      </c>
      <c r="P24" s="5">
        <v>30.46</v>
      </c>
      <c r="Q24" s="5">
        <v>29.449000000000002</v>
      </c>
      <c r="R24" s="5">
        <v>28.474</v>
      </c>
      <c r="S24" s="5">
        <v>27.544</v>
      </c>
      <c r="T24" s="5">
        <v>26.663</v>
      </c>
      <c r="U24" s="5">
        <v>25.013999999999999</v>
      </c>
      <c r="V24" s="5">
        <v>23.443000000000001</v>
      </c>
    </row>
    <row r="25" spans="1:22" x14ac:dyDescent="0.3">
      <c r="A25" s="3" t="s">
        <v>27</v>
      </c>
      <c r="B25" s="4">
        <v>45608</v>
      </c>
      <c r="C25" s="5">
        <v>105.651</v>
      </c>
      <c r="D25" s="5">
        <v>44.972999999999999</v>
      </c>
      <c r="E25" s="5">
        <v>42.06</v>
      </c>
      <c r="F25" s="5">
        <v>39.430999999999997</v>
      </c>
      <c r="G25" s="5">
        <v>38.195999999999998</v>
      </c>
      <c r="H25" s="5">
        <v>37.005000000000003</v>
      </c>
      <c r="I25" s="5">
        <v>35.850999999999999</v>
      </c>
      <c r="J25" s="5">
        <v>34.728999999999999</v>
      </c>
      <c r="K25" s="5">
        <v>33.634999999999998</v>
      </c>
      <c r="L25" s="5">
        <v>33.097000000000001</v>
      </c>
      <c r="M25" s="5">
        <v>32.564999999999998</v>
      </c>
      <c r="N25" s="5">
        <v>32.039000000000001</v>
      </c>
      <c r="O25" s="5">
        <v>31.518999999999998</v>
      </c>
      <c r="P25" s="5">
        <v>30.492999999999999</v>
      </c>
      <c r="Q25" s="5">
        <v>29.49</v>
      </c>
      <c r="R25" s="5">
        <v>28.513000000000002</v>
      </c>
      <c r="S25" s="5">
        <v>27.568000000000001</v>
      </c>
      <c r="T25" s="5">
        <v>26.655999999999999</v>
      </c>
      <c r="U25" s="5">
        <v>24.905999999999999</v>
      </c>
      <c r="V25" s="5">
        <v>23.202999999999999</v>
      </c>
    </row>
  </sheetData>
  <phoneticPr fontId="3" type="noConversion"/>
  <pageMargins left="0.5" right="0.5" top="1" bottom="1" header="0.5" footer="0.75"/>
  <pageSetup fitToHeight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1F09C-EAF5-4036-851F-9F09EA8794AA}">
  <sheetPr codeName="Sheet2">
    <tabColor theme="8" tint="-0.499984740745262"/>
  </sheetPr>
  <dimension ref="A1:H26"/>
  <sheetViews>
    <sheetView workbookViewId="0">
      <selection activeCell="E8" sqref="E8"/>
    </sheetView>
  </sheetViews>
  <sheetFormatPr defaultRowHeight="14.4" x14ac:dyDescent="0.3"/>
  <cols>
    <col min="1" max="2" width="19.44140625" customWidth="1"/>
    <col min="4" max="4" width="11.77734375" customWidth="1"/>
    <col min="5" max="5" width="11.21875" bestFit="1" customWidth="1"/>
    <col min="7" max="7" width="20.33203125" customWidth="1"/>
  </cols>
  <sheetData>
    <row r="1" spans="1:8" x14ac:dyDescent="0.3">
      <c r="A1" t="s">
        <v>28</v>
      </c>
      <c r="B1" t="s">
        <v>29</v>
      </c>
      <c r="C1" t="s">
        <v>30</v>
      </c>
      <c r="E1" s="6">
        <f>DATE(2022,11,10)</f>
        <v>44875</v>
      </c>
      <c r="G1" t="s">
        <v>31</v>
      </c>
      <c r="H1" s="7">
        <v>2.0899999999999998E-2</v>
      </c>
    </row>
    <row r="2" spans="1:8" x14ac:dyDescent="0.3">
      <c r="A2" s="8">
        <v>44879</v>
      </c>
      <c r="B2" s="9">
        <f>YEARFRAC($E$1,$A2,3)</f>
        <v>1.0958904109589041E-2</v>
      </c>
      <c r="C2" s="9">
        <v>3.9007999999999998</v>
      </c>
      <c r="D2" s="8"/>
    </row>
    <row r="3" spans="1:8" x14ac:dyDescent="0.3">
      <c r="A3" s="8">
        <v>44880</v>
      </c>
      <c r="B3" s="9">
        <f t="shared" ref="B3:B26" si="0">YEARFRAC($E$1,$A3,3)</f>
        <v>1.3698630136986301E-2</v>
      </c>
      <c r="C3" s="9">
        <v>3.9009</v>
      </c>
      <c r="D3" s="8"/>
    </row>
    <row r="4" spans="1:8" x14ac:dyDescent="0.3">
      <c r="A4" s="8">
        <v>44887</v>
      </c>
      <c r="B4" s="9">
        <f t="shared" si="0"/>
        <v>3.287671232876712E-2</v>
      </c>
      <c r="C4" s="9">
        <v>4.1708999999999996</v>
      </c>
      <c r="D4" s="8"/>
    </row>
    <row r="5" spans="1:8" x14ac:dyDescent="0.3">
      <c r="A5" s="8">
        <v>44910</v>
      </c>
      <c r="B5" s="9">
        <f t="shared" si="0"/>
        <v>9.5890410958904104E-2</v>
      </c>
      <c r="C5" s="9">
        <v>4.4001999999999999</v>
      </c>
      <c r="D5" s="8"/>
    </row>
    <row r="6" spans="1:8" x14ac:dyDescent="0.3">
      <c r="A6" s="8">
        <v>44943</v>
      </c>
      <c r="B6" s="9">
        <f t="shared" si="0"/>
        <v>0.18630136986301371</v>
      </c>
      <c r="C6" s="9">
        <v>4.5918999999999999</v>
      </c>
      <c r="D6" s="8"/>
    </row>
    <row r="7" spans="1:8" x14ac:dyDescent="0.3">
      <c r="A7" s="8">
        <v>44972</v>
      </c>
      <c r="B7" s="9">
        <f t="shared" si="0"/>
        <v>0.26575342465753427</v>
      </c>
      <c r="C7" s="9">
        <v>4.7369000000000003</v>
      </c>
      <c r="D7" s="8"/>
    </row>
    <row r="8" spans="1:8" x14ac:dyDescent="0.3">
      <c r="A8" s="8">
        <v>45061</v>
      </c>
      <c r="B8" s="9">
        <f t="shared" si="0"/>
        <v>0.50958904109589043</v>
      </c>
      <c r="C8" s="9">
        <v>4.9915000000000003</v>
      </c>
      <c r="D8" s="8"/>
    </row>
    <row r="9" spans="1:8" x14ac:dyDescent="0.3">
      <c r="A9" s="8">
        <v>45153</v>
      </c>
      <c r="B9" s="9">
        <f t="shared" si="0"/>
        <v>0.76164383561643834</v>
      </c>
      <c r="C9" s="9">
        <v>5.1078000000000001</v>
      </c>
      <c r="D9" s="8"/>
    </row>
    <row r="10" spans="1:8" x14ac:dyDescent="0.3">
      <c r="A10" s="8">
        <v>45245</v>
      </c>
      <c r="B10" s="9">
        <f t="shared" si="0"/>
        <v>1.0136986301369864</v>
      </c>
      <c r="C10" s="9">
        <v>5.1106999999999996</v>
      </c>
      <c r="D10" s="8"/>
    </row>
    <row r="11" spans="1:8" x14ac:dyDescent="0.3">
      <c r="A11" s="8">
        <v>45611</v>
      </c>
      <c r="B11" s="9">
        <f t="shared" si="0"/>
        <v>2.0164383561643837</v>
      </c>
      <c r="C11" s="9">
        <v>4.7477</v>
      </c>
      <c r="D11" s="8"/>
    </row>
    <row r="12" spans="1:8" x14ac:dyDescent="0.3">
      <c r="A12" s="8">
        <v>45978</v>
      </c>
      <c r="B12" s="9">
        <f t="shared" si="0"/>
        <v>3.021917808219178</v>
      </c>
      <c r="C12" s="9">
        <v>4.3868</v>
      </c>
      <c r="D12" s="8"/>
    </row>
    <row r="13" spans="1:8" x14ac:dyDescent="0.3">
      <c r="A13" s="8">
        <v>46342</v>
      </c>
      <c r="B13" s="9">
        <f t="shared" si="0"/>
        <v>4.0191780821917806</v>
      </c>
      <c r="C13" s="9">
        <v>4.1622000000000003</v>
      </c>
      <c r="D13" s="8"/>
    </row>
    <row r="14" spans="1:8" x14ac:dyDescent="0.3">
      <c r="A14" s="8">
        <v>46706</v>
      </c>
      <c r="B14" s="9">
        <f t="shared" si="0"/>
        <v>5.0164383561643833</v>
      </c>
      <c r="C14" s="9">
        <v>4.03</v>
      </c>
      <c r="D14" s="8"/>
    </row>
    <row r="15" spans="1:8" x14ac:dyDescent="0.3">
      <c r="A15" s="8">
        <v>47072</v>
      </c>
      <c r="B15" s="9">
        <f t="shared" si="0"/>
        <v>6.0191780821917806</v>
      </c>
      <c r="C15" s="9">
        <v>3.9485999999999999</v>
      </c>
      <c r="D15" s="8"/>
    </row>
    <row r="16" spans="1:8" x14ac:dyDescent="0.3">
      <c r="A16" s="8">
        <v>47437</v>
      </c>
      <c r="B16" s="9">
        <f t="shared" si="0"/>
        <v>7.0191780821917806</v>
      </c>
      <c r="C16" s="9">
        <v>3.8946000000000001</v>
      </c>
      <c r="D16" s="8"/>
    </row>
    <row r="17" spans="1:4" x14ac:dyDescent="0.3">
      <c r="A17" s="8">
        <v>47802</v>
      </c>
      <c r="B17" s="9">
        <f t="shared" si="0"/>
        <v>8.0191780821917806</v>
      </c>
      <c r="C17" s="9">
        <v>3.8593000000000002</v>
      </c>
      <c r="D17" s="8"/>
    </row>
    <row r="18" spans="1:4" x14ac:dyDescent="0.3">
      <c r="A18" s="8">
        <v>48169</v>
      </c>
      <c r="B18" s="9">
        <f t="shared" si="0"/>
        <v>9.0246575342465754</v>
      </c>
      <c r="C18" s="9">
        <v>3.8439999999999999</v>
      </c>
      <c r="D18" s="8"/>
    </row>
    <row r="19" spans="1:4" x14ac:dyDescent="0.3">
      <c r="A19" s="8">
        <v>48533</v>
      </c>
      <c r="B19" s="9">
        <f t="shared" si="0"/>
        <v>10.021917808219179</v>
      </c>
      <c r="C19" s="9">
        <v>3.8451</v>
      </c>
      <c r="D19" s="8"/>
    </row>
    <row r="20" spans="1:4" x14ac:dyDescent="0.3">
      <c r="A20" s="8">
        <v>49263</v>
      </c>
      <c r="B20" s="9">
        <f t="shared" si="0"/>
        <v>12.021917808219179</v>
      </c>
      <c r="C20" s="9">
        <v>3.8622000000000001</v>
      </c>
      <c r="D20" s="8"/>
    </row>
    <row r="21" spans="1:4" x14ac:dyDescent="0.3">
      <c r="A21" s="8">
        <v>50360</v>
      </c>
      <c r="B21" s="9">
        <f t="shared" si="0"/>
        <v>15.027397260273972</v>
      </c>
      <c r="C21" s="9">
        <v>3.8894000000000002</v>
      </c>
      <c r="D21" s="8"/>
    </row>
    <row r="22" spans="1:4" x14ac:dyDescent="0.3">
      <c r="A22" s="8">
        <v>52187</v>
      </c>
      <c r="B22" s="9">
        <f t="shared" si="0"/>
        <v>20.032876712328768</v>
      </c>
      <c r="C22" s="9">
        <v>3.8208000000000002</v>
      </c>
      <c r="D22" s="8"/>
    </row>
    <row r="23" spans="1:4" x14ac:dyDescent="0.3">
      <c r="A23" s="8">
        <v>54011</v>
      </c>
      <c r="B23" s="9">
        <f t="shared" si="0"/>
        <v>25.030136986301368</v>
      </c>
      <c r="C23" s="9">
        <v>3.6480999999999999</v>
      </c>
      <c r="D23" s="8"/>
    </row>
    <row r="24" spans="1:4" x14ac:dyDescent="0.3">
      <c r="A24" s="8">
        <v>55838</v>
      </c>
      <c r="B24" s="9">
        <f t="shared" si="0"/>
        <v>30.035616438356165</v>
      </c>
      <c r="C24" s="9">
        <v>3.4790999999999999</v>
      </c>
      <c r="D24" s="8"/>
    </row>
    <row r="25" spans="1:4" x14ac:dyDescent="0.3">
      <c r="A25" s="8">
        <v>59490</v>
      </c>
      <c r="B25" s="9">
        <f t="shared" si="0"/>
        <v>40.041095890410958</v>
      </c>
      <c r="C25" s="9">
        <v>3.1002999999999998</v>
      </c>
      <c r="D25" s="8"/>
    </row>
    <row r="26" spans="1:4" x14ac:dyDescent="0.3">
      <c r="A26" s="8">
        <v>63143</v>
      </c>
      <c r="B26" s="9">
        <f t="shared" si="0"/>
        <v>50.049315068493151</v>
      </c>
      <c r="C26" s="9">
        <v>2.7440000000000002</v>
      </c>
      <c r="D26" s="8"/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63D4C-C19A-4F37-B867-56061669A42D}">
  <sheetPr codeName="Sheet3">
    <tabColor theme="6" tint="-0.249977111117893"/>
    <pageSetUpPr fitToPage="1"/>
  </sheetPr>
  <dimension ref="A1:X28"/>
  <sheetViews>
    <sheetView tabSelected="1" workbookViewId="0">
      <selection activeCell="G4" sqref="G4"/>
    </sheetView>
  </sheetViews>
  <sheetFormatPr defaultRowHeight="14.4" x14ac:dyDescent="0.3"/>
  <cols>
    <col min="1" max="1" width="5" customWidth="1"/>
    <col min="2" max="2" width="13.21875" customWidth="1"/>
    <col min="3" max="3" width="8.44140625" customWidth="1"/>
    <col min="4" max="5" width="9.109375" customWidth="1"/>
    <col min="6" max="24" width="7.6640625" customWidth="1"/>
  </cols>
  <sheetData>
    <row r="1" spans="1:24" x14ac:dyDescent="0.3">
      <c r="A1" s="1" t="s">
        <v>0</v>
      </c>
      <c r="B1" s="1" t="s">
        <v>1</v>
      </c>
      <c r="C1" s="1" t="s">
        <v>29</v>
      </c>
      <c r="D1" s="2" t="s">
        <v>2</v>
      </c>
      <c r="E1" s="2" t="s">
        <v>32</v>
      </c>
      <c r="F1" s="2" t="str">
        <f>'Volatility table'!D1</f>
        <v>48.13</v>
      </c>
      <c r="G1" s="15" t="str">
        <f>'Volatility table'!E1</f>
        <v>57.76</v>
      </c>
      <c r="H1" s="15" t="str">
        <f>'Volatility table'!F1</f>
        <v>67.38</v>
      </c>
      <c r="I1" s="15" t="str">
        <f>'Volatility table'!G1</f>
        <v>72.19</v>
      </c>
      <c r="J1" s="15" t="str">
        <f>'Volatility table'!H1</f>
        <v>77.01</v>
      </c>
      <c r="K1" s="15" t="str">
        <f>'Volatility table'!I1</f>
        <v>81.82</v>
      </c>
      <c r="L1" s="15" t="str">
        <f>'Volatility table'!J1</f>
        <v>86.63</v>
      </c>
      <c r="M1" s="15" t="str">
        <f>'Volatility table'!K1</f>
        <v>91.45</v>
      </c>
      <c r="N1" s="15" t="str">
        <f>'Volatility table'!L1</f>
        <v>93.85</v>
      </c>
      <c r="O1" s="17">
        <v>96.259999999999991</v>
      </c>
      <c r="P1" s="15" t="str">
        <f>'Volatility table'!N1</f>
        <v>98.67</v>
      </c>
      <c r="Q1" s="15" t="str">
        <f>'Volatility table'!O1</f>
        <v>101.07</v>
      </c>
      <c r="R1" s="15" t="str">
        <f>'Volatility table'!P1</f>
        <v>105.89</v>
      </c>
      <c r="S1" s="15" t="str">
        <f>'Volatility table'!Q1</f>
        <v>110.70</v>
      </c>
      <c r="T1" s="15" t="str">
        <f>'Volatility table'!R1</f>
        <v>115.51</v>
      </c>
      <c r="U1" s="15" t="str">
        <f>'Volatility table'!S1</f>
        <v>120.33</v>
      </c>
      <c r="V1" s="15" t="str">
        <f>'Volatility table'!T1</f>
        <v>125.14</v>
      </c>
      <c r="W1" s="15" t="str">
        <f>'Volatility table'!U1</f>
        <v>134.76</v>
      </c>
      <c r="X1" s="15" t="str">
        <f>'Volatility table'!V1</f>
        <v>144.39</v>
      </c>
    </row>
    <row r="2" spans="1:24" x14ac:dyDescent="0.3">
      <c r="A2" s="3" t="s">
        <v>4</v>
      </c>
      <c r="B2" s="4">
        <f>'Volatility table'!B2</f>
        <v>44907</v>
      </c>
      <c r="C2" s="10">
        <f>YEARFRAC(RF!$E$1,$B2,3)</f>
        <v>8.7671232876712329E-2</v>
      </c>
      <c r="D2" s="5">
        <f>'Volatility table'!C2</f>
        <v>96.623000000000005</v>
      </c>
      <c r="E2" s="11">
        <f>($D2/$O$1)^(1/$C2)-1</f>
        <v>4.3867419942331454E-2</v>
      </c>
      <c r="F2" s="5">
        <f>BlackScholesCall($O$1,F$1,$C2,$E2,'Volatility table'!D2/100)</f>
        <v>48.319624718895426</v>
      </c>
      <c r="G2" s="16">
        <f>BlackScholesCall($O$1,G$1,$C2,$E2,'Volatility table'!E2/100)</f>
        <v>38.743345416192831</v>
      </c>
      <c r="H2" s="16">
        <f>BlackScholesCall($O$1,H$1,$C2,$E2,'Volatility table'!F2/100)</f>
        <v>29.218126884454733</v>
      </c>
      <c r="I2" s="16">
        <f>BlackScholesCall($O$1,I$1,$C2,$E2,'Volatility table'!G2/100)</f>
        <v>24.493010726577808</v>
      </c>
      <c r="J2" s="16">
        <f>BlackScholesCall($O$1,J$1,$C2,$E2,'Volatility table'!H2/100)</f>
        <v>19.810225721923672</v>
      </c>
      <c r="K2" s="16">
        <f>BlackScholesCall($O$1,K$1,$C2,$E2,'Volatility table'!I2/100)</f>
        <v>15.232413340249181</v>
      </c>
      <c r="L2" s="16">
        <f>BlackScholesCall($O$1,L$1,$C2,$E2,'Volatility table'!J2/100)</f>
        <v>10.841220561584464</v>
      </c>
      <c r="M2" s="16">
        <f>BlackScholesCall($O$1,M$1,$C2,$E2,'Volatility table'!K2/100)</f>
        <v>6.8311592295120462</v>
      </c>
      <c r="N2" s="16">
        <f>BlackScholesCall($O$1,N$1,$C2,$E2,'Volatility table'!L2/100)</f>
        <v>5.0948484399431564</v>
      </c>
      <c r="O2" s="16">
        <f>BlackScholesCall($O$1,O$1,$C2,$E2,'Volatility table'!M2/100)</f>
        <v>3.6083354902403073</v>
      </c>
      <c r="P2" s="16">
        <f>BlackScholesCall($O$1,P$1,$C2,$E2,'Volatility table'!N2/100)</f>
        <v>2.4251773058849295</v>
      </c>
      <c r="Q2" s="16">
        <f>BlackScholesCall($O$1,Q$1,$C2,$E2,'Volatility table'!O2/100)</f>
        <v>1.5564967203032403</v>
      </c>
      <c r="R2" s="16">
        <f>BlackScholesCall($O$1,R$1,$C2,$E2,'Volatility table'!P2/100)</f>
        <v>0.58072369087723352</v>
      </c>
      <c r="S2" s="16">
        <f>BlackScholesCall($O$1,S$1,$C2,$E2,'Volatility table'!Q2/100)</f>
        <v>0.21031037251515272</v>
      </c>
      <c r="T2" s="16">
        <f>BlackScholesCall($O$1,T$1,$C2,$E2,'Volatility table'!R2/100)</f>
        <v>7.9731445451949323E-2</v>
      </c>
      <c r="U2" s="16">
        <f>BlackScholesCall($O$1,U$1,$C2,$E2,'Volatility table'!S2/100)</f>
        <v>3.2395792676978674E-2</v>
      </c>
      <c r="V2" s="16">
        <f>BlackScholesCall($O$1,V$1,$C2,$E2,'Volatility table'!T2/100)</f>
        <v>1.41748237701389E-2</v>
      </c>
      <c r="W2" s="16">
        <f>BlackScholesCall($O$1,W$1,$C2,$E2,'Volatility table'!U2/100)</f>
        <v>3.2356822029133703E-3</v>
      </c>
      <c r="X2" s="16">
        <f>BlackScholesCall($O$1,X$1,$C2,$E2,'Volatility table'!V2/100)</f>
        <v>8.7958140073259375E-4</v>
      </c>
    </row>
    <row r="3" spans="1:24" x14ac:dyDescent="0.3">
      <c r="A3" s="3" t="s">
        <v>5</v>
      </c>
      <c r="B3" s="4">
        <f>'Volatility table'!B3</f>
        <v>44936</v>
      </c>
      <c r="C3" s="10">
        <f>YEARFRAC(RF!$E$1,$B3,3)</f>
        <v>0.16712328767123288</v>
      </c>
      <c r="D3" s="5">
        <f>'Volatility table'!C3</f>
        <v>96.978999999999999</v>
      </c>
      <c r="E3" s="11">
        <f t="shared" ref="E3:E25" si="0">($D3/$O$1)^(1/$C3)-1</f>
        <v>4.5533817033993396E-2</v>
      </c>
      <c r="F3" s="16">
        <f>BlackScholesCall($O$1,F$1,$C3,$E3,'Volatility table'!D3/100)</f>
        <v>48.518338160673046</v>
      </c>
      <c r="G3" s="16">
        <f>BlackScholesCall($O$1,G$1,$C3,$E3,'Volatility table'!E3/100)</f>
        <v>39.017658243605368</v>
      </c>
      <c r="H3" s="16">
        <f>BlackScholesCall($O$1,H$1,$C3,$E3,'Volatility table'!F3/100)</f>
        <v>29.62457261341131</v>
      </c>
      <c r="I3" s="16">
        <f>BlackScholesCall($O$1,I$1,$C3,$E3,'Volatility table'!G3/100)</f>
        <v>25.003748921481503</v>
      </c>
      <c r="J3" s="16">
        <f>BlackScholesCall($O$1,J$1,$C3,$E3,'Volatility table'!H3/100)</f>
        <v>20.465117688952603</v>
      </c>
      <c r="K3" s="16">
        <f>BlackScholesCall($O$1,K$1,$C3,$E3,'Volatility table'!I3/100)</f>
        <v>16.082804699866003</v>
      </c>
      <c r="L3" s="16">
        <f>BlackScholesCall($O$1,L$1,$C3,$E3,'Volatility table'!J3/100)</f>
        <v>11.941707676684985</v>
      </c>
      <c r="M3" s="16">
        <f>BlackScholesCall($O$1,M$1,$C3,$E3,'Volatility table'!K3/100)</f>
        <v>8.1909573338075532</v>
      </c>
      <c r="N3" s="16">
        <f>BlackScholesCall($O$1,N$1,$C3,$E3,'Volatility table'!L3/100)</f>
        <v>6.5394482885993028</v>
      </c>
      <c r="O3" s="16">
        <f>BlackScholesCall($O$1,O$1,$C3,$E3,'Volatility table'!M3/100)</f>
        <v>5.0679566764369852</v>
      </c>
      <c r="P3" s="16">
        <f>BlackScholesCall($O$1,P$1,$C3,$E3,'Volatility table'!N3/100)</f>
        <v>3.8094964909123519</v>
      </c>
      <c r="Q3" s="16">
        <f>BlackScholesCall($O$1,Q$1,$C3,$E3,'Volatility table'!O3/100)</f>
        <v>2.781505541777662</v>
      </c>
      <c r="R3" s="16">
        <f>BlackScholesCall($O$1,R$1,$C3,$E3,'Volatility table'!P3/100)</f>
        <v>1.3693906762532855</v>
      </c>
      <c r="S3" s="16">
        <f>BlackScholesCall($O$1,S$1,$C3,$E3,'Volatility table'!Q3/100)</f>
        <v>0.63463837367465992</v>
      </c>
      <c r="T3" s="16">
        <f>BlackScholesCall($O$1,T$1,$C3,$E3,'Volatility table'!R3/100)</f>
        <v>0.29237548276260128</v>
      </c>
      <c r="U3" s="16">
        <f>BlackScholesCall($O$1,U$1,$C3,$E3,'Volatility table'!S3/100)</f>
        <v>0.13903296109696406</v>
      </c>
      <c r="V3" s="16">
        <f>BlackScholesCall($O$1,V$1,$C3,$E3,'Volatility table'!T3/100)</f>
        <v>6.971643392437632E-2</v>
      </c>
      <c r="W3" s="16">
        <f>BlackScholesCall($O$1,W$1,$C3,$E3,'Volatility table'!U3/100)</f>
        <v>2.0520076593398162E-2</v>
      </c>
      <c r="X3" s="16">
        <f>BlackScholesCall($O$1,X$1,$C3,$E3,'Volatility table'!V3/100)</f>
        <v>7.1679636995888585E-3</v>
      </c>
    </row>
    <row r="4" spans="1:24" x14ac:dyDescent="0.3">
      <c r="A4" s="3" t="s">
        <v>6</v>
      </c>
      <c r="B4" s="4">
        <f>'Volatility table'!B4</f>
        <v>44967</v>
      </c>
      <c r="C4" s="10">
        <f>YEARFRAC(RF!$E$1,$B4,3)</f>
        <v>0.25205479452054796</v>
      </c>
      <c r="D4" s="5">
        <f>'Volatility table'!C4</f>
        <v>97.384</v>
      </c>
      <c r="E4" s="11">
        <f t="shared" si="0"/>
        <v>4.7134821094625634E-2</v>
      </c>
      <c r="F4" s="16">
        <f>BlackScholesCall($O$1,F$1,$C4,$E4,'Volatility table'!D4/100)</f>
        <v>48.762337825896743</v>
      </c>
      <c r="G4" s="16">
        <f>BlackScholesCall($O$1,G$1,$C4,$E4,'Volatility table'!E4/100)</f>
        <v>39.370661267517576</v>
      </c>
      <c r="H4" s="16">
        <f>BlackScholesCall($O$1,H$1,$C4,$E4,'Volatility table'!F4/100)</f>
        <v>30.160409192898896</v>
      </c>
      <c r="I4" s="16">
        <f>BlackScholesCall($O$1,I$1,$C4,$E4,'Volatility table'!G4/100)</f>
        <v>25.672835934232921</v>
      </c>
      <c r="J4" s="16">
        <f>BlackScholesCall($O$1,J$1,$C4,$E4,'Volatility table'!H4/100)</f>
        <v>21.302944200537695</v>
      </c>
      <c r="K4" s="16">
        <f>BlackScholesCall($O$1,K$1,$C4,$E4,'Volatility table'!I4/100)</f>
        <v>17.123813434486003</v>
      </c>
      <c r="L4" s="16">
        <f>BlackScholesCall($O$1,L$1,$C4,$E4,'Volatility table'!J4/100)</f>
        <v>13.206793908957849</v>
      </c>
      <c r="M4" s="16">
        <f>BlackScholesCall($O$1,M$1,$C4,$E4,'Volatility table'!K4/100)</f>
        <v>9.6559266330958167</v>
      </c>
      <c r="N4" s="16">
        <f>BlackScholesCall($O$1,N$1,$C4,$E4,'Volatility table'!L4/100)</f>
        <v>8.0684446036791329</v>
      </c>
      <c r="O4" s="16">
        <f>BlackScholesCall($O$1,O$1,$C4,$E4,'Volatility table'!M4/100)</f>
        <v>6.6202140614767089</v>
      </c>
      <c r="P4" s="16">
        <f>BlackScholesCall($O$1,P$1,$C4,$E4,'Volatility table'!N4/100)</f>
        <v>5.332601568509034</v>
      </c>
      <c r="Q4" s="16">
        <f>BlackScholesCall($O$1,Q$1,$C4,$E4,'Volatility table'!O4/100)</f>
        <v>4.2199149630946522</v>
      </c>
      <c r="R4" s="16">
        <f>BlackScholesCall($O$1,R$1,$C4,$E4,'Volatility table'!P4/100)</f>
        <v>2.5055341043173982</v>
      </c>
      <c r="S4" s="16">
        <f>BlackScholesCall($O$1,S$1,$C4,$E4,'Volatility table'!Q4/100)</f>
        <v>1.4133688795082833</v>
      </c>
      <c r="T4" s="16">
        <f>BlackScholesCall($O$1,T$1,$C4,$E4,'Volatility table'!R4/100)</f>
        <v>0.77751125633302109</v>
      </c>
      <c r="U4" s="16">
        <f>BlackScholesCall($O$1,U$1,$C4,$E4,'Volatility table'!S4/100)</f>
        <v>0.42747975194673948</v>
      </c>
      <c r="V4" s="16">
        <f>BlackScholesCall($O$1,V$1,$C4,$E4,'Volatility table'!T4/100)</f>
        <v>0.2396706537763249</v>
      </c>
      <c r="W4" s="16">
        <f>BlackScholesCall($O$1,W$1,$C4,$E4,'Volatility table'!U4/100)</f>
        <v>8.1849996694478788E-2</v>
      </c>
      <c r="X4" s="16">
        <f>BlackScholesCall($O$1,X$1,$C4,$E4,'Volatility table'!V4/100)</f>
        <v>3.1255001022210904E-2</v>
      </c>
    </row>
    <row r="5" spans="1:24" x14ac:dyDescent="0.3">
      <c r="A5" s="3" t="s">
        <v>7</v>
      </c>
      <c r="B5" s="4">
        <f>'Volatility table'!B5</f>
        <v>44995</v>
      </c>
      <c r="C5" s="10">
        <f>YEARFRAC(RF!$E$1,$B5,3)</f>
        <v>0.32876712328767121</v>
      </c>
      <c r="D5" s="5">
        <f>'Volatility table'!C5</f>
        <v>97.762</v>
      </c>
      <c r="E5" s="11">
        <f t="shared" si="0"/>
        <v>4.8220953895315111E-2</v>
      </c>
      <c r="F5" s="16">
        <f>BlackScholesCall($O$1,F$1,$C5,$E5,'Volatility table'!D5/100)</f>
        <v>49.007517304553232</v>
      </c>
      <c r="G5" s="16">
        <f>BlackScholesCall($O$1,G$1,$C5,$E5,'Volatility table'!E5/100)</f>
        <v>39.732410354683559</v>
      </c>
      <c r="H5" s="16">
        <f>BlackScholesCall($O$1,H$1,$C5,$E5,'Volatility table'!F5/100)</f>
        <v>30.70290902791772</v>
      </c>
      <c r="I5" s="16">
        <f>BlackScholesCall($O$1,I$1,$C5,$E5,'Volatility table'!G5/100)</f>
        <v>26.335829411432478</v>
      </c>
      <c r="J5" s="16">
        <f>BlackScholesCall($O$1,J$1,$C5,$E5,'Volatility table'!H5/100)</f>
        <v>22.106540195752352</v>
      </c>
      <c r="K5" s="16">
        <f>BlackScholesCall($O$1,K$1,$C5,$E5,'Volatility table'!I5/100)</f>
        <v>18.081636437314074</v>
      </c>
      <c r="L5" s="16">
        <f>BlackScholesCall($O$1,L$1,$C5,$E5,'Volatility table'!J5/100)</f>
        <v>14.317758780019105</v>
      </c>
      <c r="M5" s="16">
        <f>BlackScholesCall($O$1,M$1,$C5,$E5,'Volatility table'!K5/100)</f>
        <v>10.890833756038724</v>
      </c>
      <c r="N5" s="16">
        <f>BlackScholesCall($O$1,N$1,$C5,$E5,'Volatility table'!L5/100)</f>
        <v>9.3409480500557436</v>
      </c>
      <c r="O5" s="16">
        <f>BlackScholesCall($O$1,O$1,$C5,$E5,'Volatility table'!M5/100)</f>
        <v>7.9071472711912207</v>
      </c>
      <c r="P5" s="16">
        <f>BlackScholesCall($O$1,P$1,$C5,$E5,'Volatility table'!N5/100)</f>
        <v>6.6056785347657794</v>
      </c>
      <c r="Q5" s="16">
        <f>BlackScholesCall($O$1,Q$1,$C5,$E5,'Volatility table'!O5/100)</f>
        <v>5.4492356183666857</v>
      </c>
      <c r="R5" s="16">
        <f>BlackScholesCall($O$1,R$1,$C5,$E5,'Volatility table'!P5/100)</f>
        <v>3.5644959167401922</v>
      </c>
      <c r="S5" s="16">
        <f>BlackScholesCall($O$1,S$1,$C5,$E5,'Volatility table'!Q5/100)</f>
        <v>2.2370569972876382</v>
      </c>
      <c r="T5" s="16">
        <f>BlackScholesCall($O$1,T$1,$C5,$E5,'Volatility table'!R5/100)</f>
        <v>1.3675748328885824</v>
      </c>
      <c r="U5" s="16">
        <f>BlackScholesCall($O$1,U$1,$C5,$E5,'Volatility table'!S5/100)</f>
        <v>0.82743207457462553</v>
      </c>
      <c r="V5" s="16">
        <f>BlackScholesCall($O$1,V$1,$C5,$E5,'Volatility table'!T5/100)</f>
        <v>0.50296619421164923</v>
      </c>
      <c r="W5" s="16">
        <f>BlackScholesCall($O$1,W$1,$C5,$E5,'Volatility table'!U5/100)</f>
        <v>0.19319271089613599</v>
      </c>
      <c r="X5" s="16">
        <f>BlackScholesCall($O$1,X$1,$C5,$E5,'Volatility table'!V5/100)</f>
        <v>7.9263450097273758E-2</v>
      </c>
    </row>
    <row r="6" spans="1:24" x14ac:dyDescent="0.3">
      <c r="A6" s="3" t="s">
        <v>8</v>
      </c>
      <c r="B6" s="4">
        <f>'Volatility table'!B6</f>
        <v>45026</v>
      </c>
      <c r="C6" s="10">
        <f>YEARFRAC(RF!$E$1,$B6,3)</f>
        <v>0.41369863013698632</v>
      </c>
      <c r="D6" s="5">
        <f>'Volatility table'!C6</f>
        <v>98.188999999999993</v>
      </c>
      <c r="E6" s="11">
        <f t="shared" si="0"/>
        <v>4.9129558204282997E-2</v>
      </c>
      <c r="F6" s="16">
        <f>BlackScholesCall($O$1,F$1,$C6,$E6,'Volatility table'!D6/100)</f>
        <v>49.269326357559528</v>
      </c>
      <c r="G6" s="16">
        <f>BlackScholesCall($O$1,G$1,$C6,$E6,'Volatility table'!E6/100)</f>
        <v>40.100290046551692</v>
      </c>
      <c r="H6" s="16">
        <f>BlackScholesCall($O$1,H$1,$C6,$E6,'Volatility table'!F6/100)</f>
        <v>31.219098382080269</v>
      </c>
      <c r="I6" s="16">
        <f>BlackScholesCall($O$1,I$1,$C6,$E6,'Volatility table'!G6/100)</f>
        <v>26.942456802012906</v>
      </c>
      <c r="J6" s="16">
        <f>BlackScholesCall($O$1,J$1,$C6,$E6,'Volatility table'!H6/100)</f>
        <v>22.811483044035519</v>
      </c>
      <c r="K6" s="16">
        <f>BlackScholesCall($O$1,K$1,$C6,$E6,'Volatility table'!I6/100)</f>
        <v>18.885774000513926</v>
      </c>
      <c r="L6" s="16">
        <f>BlackScholesCall($O$1,L$1,$C6,$E6,'Volatility table'!J6/100)</f>
        <v>15.210496361848136</v>
      </c>
      <c r="M6" s="16">
        <f>BlackScholesCall($O$1,M$1,$C6,$E6,'Volatility table'!K6/100)</f>
        <v>11.844323573476487</v>
      </c>
      <c r="N6" s="16">
        <f>BlackScholesCall($O$1,N$1,$C6,$E6,'Volatility table'!L6/100)</f>
        <v>10.308509083546568</v>
      </c>
      <c r="O6" s="16">
        <f>BlackScholesCall($O$1,O$1,$C6,$E6,'Volatility table'!M6/100)</f>
        <v>8.8743528599795383</v>
      </c>
      <c r="P6" s="16">
        <f>BlackScholesCall($O$1,P$1,$C6,$E6,'Volatility table'!N6/100)</f>
        <v>7.5575546000377258</v>
      </c>
      <c r="Q6" s="16">
        <f>BlackScholesCall($O$1,Q$1,$C6,$E6,'Volatility table'!O6/100)</f>
        <v>6.3702828888452032</v>
      </c>
      <c r="R6" s="16">
        <f>BlackScholesCall($O$1,R$1,$C6,$E6,'Volatility table'!P6/100)</f>
        <v>4.3840912495603845</v>
      </c>
      <c r="S6" s="16">
        <f>BlackScholesCall($O$1,S$1,$C6,$E6,'Volatility table'!Q6/100)</f>
        <v>2.9218612568227122</v>
      </c>
      <c r="T6" s="16">
        <f>BlackScholesCall($O$1,T$1,$C6,$E6,'Volatility table'!R6/100)</f>
        <v>1.9088169343352739</v>
      </c>
      <c r="U6" s="16">
        <f>BlackScholesCall($O$1,U$1,$C6,$E6,'Volatility table'!S6/100)</f>
        <v>1.2348319542207538</v>
      </c>
      <c r="V6" s="16">
        <f>BlackScholesCall($O$1,V$1,$C6,$E6,'Volatility table'!T6/100)</f>
        <v>0.79762554009288067</v>
      </c>
      <c r="W6" s="16">
        <f>BlackScholesCall($O$1,W$1,$C6,$E6,'Volatility table'!U6/100)</f>
        <v>0.33504195937242542</v>
      </c>
      <c r="X6" s="16">
        <f>BlackScholesCall($O$1,X$1,$C6,$E6,'Volatility table'!V6/100)</f>
        <v>0.14333962107436005</v>
      </c>
    </row>
    <row r="7" spans="1:24" x14ac:dyDescent="0.3">
      <c r="A7" s="3" t="s">
        <v>9</v>
      </c>
      <c r="B7" s="4">
        <f>'Volatility table'!B7</f>
        <v>45056</v>
      </c>
      <c r="C7" s="10">
        <f>YEARFRAC(RF!$E$1,$B7,3)</f>
        <v>0.49589041095890413</v>
      </c>
      <c r="D7" s="5">
        <f>'Volatility table'!C7</f>
        <v>98.608999999999995</v>
      </c>
      <c r="E7" s="11">
        <f t="shared" si="0"/>
        <v>4.9820241278922817E-2</v>
      </c>
      <c r="F7" s="16">
        <f>BlackScholesCall($O$1,F$1,$C7,$E7,'Volatility table'!D7/100)</f>
        <v>49.542045365915349</v>
      </c>
      <c r="G7" s="16">
        <f>BlackScholesCall($O$1,G$1,$C7,$E7,'Volatility table'!E7/100)</f>
        <v>40.484095973111238</v>
      </c>
      <c r="H7" s="16">
        <f>BlackScholesCall($O$1,H$1,$C7,$E7,'Volatility table'!F7/100)</f>
        <v>31.747238809044731</v>
      </c>
      <c r="I7" s="16">
        <f>BlackScholesCall($O$1,I$1,$C7,$E7,'Volatility table'!G7/100)</f>
        <v>27.552927393253952</v>
      </c>
      <c r="J7" s="16">
        <f>BlackScholesCall($O$1,J$1,$C7,$E7,'Volatility table'!H7/100)</f>
        <v>23.506881467293901</v>
      </c>
      <c r="K7" s="16">
        <f>BlackScholesCall($O$1,K$1,$C7,$E7,'Volatility table'!I7/100)</f>
        <v>19.662446187957734</v>
      </c>
      <c r="L7" s="16">
        <f>BlackScholesCall($O$1,L$1,$C7,$E7,'Volatility table'!J7/100)</f>
        <v>16.055299606344292</v>
      </c>
      <c r="M7" s="16">
        <f>BlackScholesCall($O$1,M$1,$C7,$E7,'Volatility table'!K7/100)</f>
        <v>12.732507807034288</v>
      </c>
      <c r="N7" s="16">
        <f>BlackScholesCall($O$1,N$1,$C7,$E7,'Volatility table'!L7/100)</f>
        <v>11.204317297237367</v>
      </c>
      <c r="O7" s="16">
        <f>BlackScholesCall($O$1,O$1,$C7,$E7,'Volatility table'!M7/100)</f>
        <v>9.7665772252959968</v>
      </c>
      <c r="P7" s="16">
        <f>BlackScholesCall($O$1,P$1,$C7,$E7,'Volatility table'!N7/100)</f>
        <v>8.4338761717243429</v>
      </c>
      <c r="Q7" s="16">
        <f>BlackScholesCall($O$1,Q$1,$C7,$E7,'Volatility table'!O7/100)</f>
        <v>7.2179874059448039</v>
      </c>
      <c r="R7" s="16">
        <f>BlackScholesCall($O$1,R$1,$C7,$E7,'Volatility table'!P7/100)</f>
        <v>5.1430793982416034</v>
      </c>
      <c r="S7" s="16">
        <f>BlackScholesCall($O$1,S$1,$C7,$E7,'Volatility table'!Q7/100)</f>
        <v>3.5710613326864262</v>
      </c>
      <c r="T7" s="16">
        <f>BlackScholesCall($O$1,T$1,$C7,$E7,'Volatility table'!R7/100)</f>
        <v>2.4483522856635602</v>
      </c>
      <c r="U7" s="16">
        <f>BlackScholesCall($O$1,U$1,$C7,$E7,'Volatility table'!S7/100)</f>
        <v>1.671154257939989</v>
      </c>
      <c r="V7" s="16">
        <f>BlackScholesCall($O$1,V$1,$C7,$E7,'Volatility table'!T7/100)</f>
        <v>1.1407628410954267</v>
      </c>
      <c r="W7" s="16">
        <f>BlackScholesCall($O$1,W$1,$C7,$E7,'Volatility table'!U7/100)</f>
        <v>0.53210118338476864</v>
      </c>
      <c r="X7" s="16">
        <f>BlackScholesCall($O$1,X$1,$C7,$E7,'Volatility table'!V7/100)</f>
        <v>0.24921632545692951</v>
      </c>
    </row>
    <row r="8" spans="1:24" x14ac:dyDescent="0.3">
      <c r="A8" s="3" t="s">
        <v>10</v>
      </c>
      <c r="B8" s="4">
        <f>'Volatility table'!B8</f>
        <v>45089</v>
      </c>
      <c r="C8" s="10">
        <f>YEARFRAC(RF!$E$1,$B8,3)</f>
        <v>0.58630136986301373</v>
      </c>
      <c r="D8" s="5">
        <f>'Volatility table'!C8</f>
        <v>99.075999999999993</v>
      </c>
      <c r="E8" s="11">
        <f t="shared" si="0"/>
        <v>5.0409527712642177E-2</v>
      </c>
      <c r="F8" s="16">
        <f>BlackScholesCall($O$1,F$1,$C8,$E8,'Volatility table'!D8/100)</f>
        <v>49.866913820143523</v>
      </c>
      <c r="G8" s="16">
        <f>BlackScholesCall($O$1,G$1,$C8,$E8,'Volatility table'!E8/100)</f>
        <v>40.940202798824707</v>
      </c>
      <c r="H8" s="16">
        <f>BlackScholesCall($O$1,H$1,$C8,$E8,'Volatility table'!F8/100)</f>
        <v>32.363547282302704</v>
      </c>
      <c r="I8" s="16">
        <f>BlackScholesCall($O$1,I$1,$C8,$E8,'Volatility table'!G8/100)</f>
        <v>28.255725087019741</v>
      </c>
      <c r="J8" s="16">
        <f>BlackScholesCall($O$1,J$1,$C8,$E8,'Volatility table'!H8/100)</f>
        <v>24.296188456658719</v>
      </c>
      <c r="K8" s="16">
        <f>BlackScholesCall($O$1,K$1,$C8,$E8,'Volatility table'!I8/100)</f>
        <v>20.531250607547229</v>
      </c>
      <c r="L8" s="16">
        <f>BlackScholesCall($O$1,L$1,$C8,$E8,'Volatility table'!J8/100)</f>
        <v>16.989032387033483</v>
      </c>
      <c r="M8" s="16">
        <f>BlackScholesCall($O$1,M$1,$C8,$E8,'Volatility table'!K8/100)</f>
        <v>13.705911187723693</v>
      </c>
      <c r="N8" s="16">
        <f>BlackScholesCall($O$1,N$1,$C8,$E8,'Volatility table'!L8/100)</f>
        <v>12.184232841818179</v>
      </c>
      <c r="O8" s="16">
        <f>BlackScholesCall($O$1,O$1,$C8,$E8,'Volatility table'!M8/100)</f>
        <v>10.742141892142477</v>
      </c>
      <c r="P8" s="16">
        <f>BlackScholesCall($O$1,P$1,$C8,$E8,'Volatility table'!N8/100)</f>
        <v>9.3929020430784433</v>
      </c>
      <c r="Q8" s="16">
        <f>BlackScholesCall($O$1,Q$1,$C8,$E8,'Volatility table'!O8/100)</f>
        <v>8.1484072968421231</v>
      </c>
      <c r="R8" s="16">
        <f>BlackScholesCall($O$1,R$1,$C8,$E8,'Volatility table'!P8/100)</f>
        <v>5.9844418600337193</v>
      </c>
      <c r="S8" s="16">
        <f>BlackScholesCall($O$1,S$1,$C8,$E8,'Volatility table'!Q8/100)</f>
        <v>4.303235982289376</v>
      </c>
      <c r="T8" s="16">
        <f>BlackScholesCall($O$1,T$1,$C8,$E8,'Volatility table'!R8/100)</f>
        <v>3.075166098754238</v>
      </c>
      <c r="U8" s="16">
        <f>BlackScholesCall($O$1,U$1,$C8,$E8,'Volatility table'!S8/100)</f>
        <v>2.2002177431173422</v>
      </c>
      <c r="V8" s="16">
        <f>BlackScholesCall($O$1,V$1,$C8,$E8,'Volatility table'!T8/100)</f>
        <v>1.5794057097287588</v>
      </c>
      <c r="W8" s="16">
        <f>BlackScholesCall($O$1,W$1,$C8,$E8,'Volatility table'!U8/100)</f>
        <v>0.81730803120482065</v>
      </c>
      <c r="X8" s="16">
        <f>BlackScholesCall($O$1,X$1,$C8,$E8,'Volatility table'!V8/100)</f>
        <v>0.42466204641374539</v>
      </c>
    </row>
    <row r="9" spans="1:24" x14ac:dyDescent="0.3">
      <c r="A9" s="3" t="s">
        <v>11</v>
      </c>
      <c r="B9" s="4">
        <f>'Volatility table'!B9</f>
        <v>45117</v>
      </c>
      <c r="C9" s="10">
        <f>YEARFRAC(RF!$E$1,$B9,3)</f>
        <v>0.66301369863013704</v>
      </c>
      <c r="D9" s="5">
        <f>'Volatility table'!C9</f>
        <v>99.472999999999999</v>
      </c>
      <c r="E9" s="11">
        <f t="shared" si="0"/>
        <v>5.0768110276461886E-2</v>
      </c>
      <c r="F9" s="16">
        <f>BlackScholesCall($O$1,F$1,$C9,$E9,'Volatility table'!D9/100)</f>
        <v>50.145738565652024</v>
      </c>
      <c r="G9" s="16">
        <f>BlackScholesCall($O$1,G$1,$C9,$E9,'Volatility table'!E9/100)</f>
        <v>41.324840054419482</v>
      </c>
      <c r="H9" s="16">
        <f>BlackScholesCall($O$1,H$1,$C9,$E9,'Volatility table'!F9/100)</f>
        <v>32.871403770049646</v>
      </c>
      <c r="I9" s="16">
        <f>BlackScholesCall($O$1,I$1,$C9,$E9,'Volatility table'!G9/100)</f>
        <v>28.828709406878239</v>
      </c>
      <c r="J9" s="16">
        <f>BlackScholesCall($O$1,J$1,$C9,$E9,'Volatility table'!H9/100)</f>
        <v>24.933248261491208</v>
      </c>
      <c r="K9" s="16">
        <f>BlackScholesCall($O$1,K$1,$C9,$E9,'Volatility table'!I9/100)</f>
        <v>21.22786997222638</v>
      </c>
      <c r="L9" s="16">
        <f>BlackScholesCall($O$1,L$1,$C9,$E9,'Volatility table'!J9/100)</f>
        <v>17.736386484755741</v>
      </c>
      <c r="M9" s="16">
        <f>BlackScholesCall($O$1,M$1,$C9,$E9,'Volatility table'!K9/100)</f>
        <v>14.489414587178537</v>
      </c>
      <c r="N9" s="16">
        <f>BlackScholesCall($O$1,N$1,$C9,$E9,'Volatility table'!L9/100)</f>
        <v>12.978082427053266</v>
      </c>
      <c r="O9" s="16">
        <f>BlackScholesCall($O$1,O$1,$C9,$E9,'Volatility table'!M9/100)</f>
        <v>11.539777856419086</v>
      </c>
      <c r="P9" s="16">
        <f>BlackScholesCall($O$1,P$1,$C9,$E9,'Volatility table'!N9/100)</f>
        <v>10.187154119977293</v>
      </c>
      <c r="Q9" s="16">
        <f>BlackScholesCall($O$1,Q$1,$C9,$E9,'Volatility table'!O9/100)</f>
        <v>8.9308868687972023</v>
      </c>
      <c r="R9" s="16">
        <f>BlackScholesCall($O$1,R$1,$C9,$E9,'Volatility table'!P9/100)</f>
        <v>6.7156818241165652</v>
      </c>
      <c r="S9" s="16">
        <f>BlackScholesCall($O$1,S$1,$C9,$E9,'Volatility table'!Q9/100)</f>
        <v>4.9485237849161905</v>
      </c>
      <c r="T9" s="16">
        <f>BlackScholesCall($O$1,T$1,$C9,$E9,'Volatility table'!R9/100)</f>
        <v>3.6159438287785299</v>
      </c>
      <c r="U9" s="16">
        <f>BlackScholesCall($O$1,U$1,$C9,$E9,'Volatility table'!S9/100)</f>
        <v>2.6391434660700739</v>
      </c>
      <c r="V9" s="16">
        <f>BlackScholesCall($O$1,V$1,$C9,$E9,'Volatility table'!T9/100)</f>
        <v>1.9316596404716844</v>
      </c>
      <c r="W9" s="16">
        <f>BlackScholesCall($O$1,W$1,$C9,$E9,'Volatility table'!U9/100)</f>
        <v>1.042835469810333</v>
      </c>
      <c r="X9" s="16">
        <f>BlackScholesCall($O$1,X$1,$C9,$E9,'Volatility table'!V9/100)</f>
        <v>0.56704218621642433</v>
      </c>
    </row>
    <row r="10" spans="1:24" x14ac:dyDescent="0.3">
      <c r="A10" s="3" t="s">
        <v>12</v>
      </c>
      <c r="B10" s="4">
        <f>'Volatility table'!B10</f>
        <v>45148</v>
      </c>
      <c r="C10" s="10">
        <f>YEARFRAC(RF!$E$1,$B10,3)</f>
        <v>0.74794520547945209</v>
      </c>
      <c r="D10" s="5">
        <f>'Volatility table'!C10</f>
        <v>99.912000000000006</v>
      </c>
      <c r="E10" s="11">
        <f t="shared" si="0"/>
        <v>5.1045775600370158E-2</v>
      </c>
      <c r="F10" s="16">
        <f>BlackScholesCall($O$1,F$1,$C10,$E10,'Volatility table'!D10/100)</f>
        <v>50.458358838270222</v>
      </c>
      <c r="G10" s="16">
        <f>BlackScholesCall($O$1,G$1,$C10,$E10,'Volatility table'!E10/100)</f>
        <v>41.750437777782345</v>
      </c>
      <c r="H10" s="16">
        <f>BlackScholesCall($O$1,H$1,$C10,$E10,'Volatility table'!F10/100)</f>
        <v>33.424282717100105</v>
      </c>
      <c r="I10" s="16">
        <f>BlackScholesCall($O$1,I$1,$C10,$E10,'Volatility table'!G10/100)</f>
        <v>29.446872113678133</v>
      </c>
      <c r="J10" s="16">
        <f>BlackScholesCall($O$1,J$1,$C10,$E10,'Volatility table'!H10/100)</f>
        <v>25.615080282232199</v>
      </c>
      <c r="K10" s="16">
        <f>BlackScholesCall($O$1,K$1,$C10,$E10,'Volatility table'!I10/100)</f>
        <v>21.967896496014731</v>
      </c>
      <c r="L10" s="16">
        <f>BlackScholesCall($O$1,L$1,$C10,$E10,'Volatility table'!J10/100)</f>
        <v>18.525681241433908</v>
      </c>
      <c r="M10" s="16">
        <f>BlackScholesCall($O$1,M$1,$C10,$E10,'Volatility table'!K10/100)</f>
        <v>15.31423073096505</v>
      </c>
      <c r="N10" s="16">
        <f>BlackScholesCall($O$1,N$1,$C10,$E10,'Volatility table'!L10/100)</f>
        <v>13.813413276385241</v>
      </c>
      <c r="O10" s="16">
        <f>BlackScholesCall($O$1,O$1,$C10,$E10,'Volatility table'!M10/100)</f>
        <v>12.380314758417505</v>
      </c>
      <c r="P10" s="16">
        <f>BlackScholesCall($O$1,P$1,$C10,$E10,'Volatility table'!N10/100)</f>
        <v>11.025815822395444</v>
      </c>
      <c r="Q10" s="16">
        <f>BlackScholesCall($O$1,Q$1,$C10,$E10,'Volatility table'!O10/100)</f>
        <v>9.7599330026937494</v>
      </c>
      <c r="R10" s="16">
        <f>BlackScholesCall($O$1,R$1,$C10,$E10,'Volatility table'!P10/100)</f>
        <v>7.4988527361240997</v>
      </c>
      <c r="S10" s="16">
        <f>BlackScholesCall($O$1,S$1,$C10,$E10,'Volatility table'!Q10/100)</f>
        <v>5.6499147973690675</v>
      </c>
      <c r="T10" s="16">
        <f>BlackScholesCall($O$1,T$1,$C10,$E10,'Volatility table'!R10/100)</f>
        <v>4.2111773694906169</v>
      </c>
      <c r="U10" s="16">
        <f>BlackScholesCall($O$1,U$1,$C10,$E10,'Volatility table'!S10/100)</f>
        <v>3.1273065182048079</v>
      </c>
      <c r="V10" s="16">
        <f>BlackScholesCall($O$1,V$1,$C10,$E10,'Volatility table'!T10/100)</f>
        <v>2.3277404901611938</v>
      </c>
      <c r="W10" s="16">
        <f>BlackScholesCall($O$1,W$1,$C10,$E10,'Volatility table'!U10/100)</f>
        <v>1.30319911703101</v>
      </c>
      <c r="X10" s="16">
        <f>BlackScholesCall($O$1,X$1,$C10,$E10,'Volatility table'!V10/100)</f>
        <v>0.73722562838414607</v>
      </c>
    </row>
    <row r="11" spans="1:24" x14ac:dyDescent="0.3">
      <c r="A11" s="3" t="s">
        <v>13</v>
      </c>
      <c r="B11" s="4">
        <f>'Volatility table'!B11</f>
        <v>45180</v>
      </c>
      <c r="C11" s="10">
        <f>YEARFRAC(RF!$E$1,$B11,3)</f>
        <v>0.83561643835616439</v>
      </c>
      <c r="D11" s="5">
        <f>'Volatility table'!C11</f>
        <v>100.36</v>
      </c>
      <c r="E11" s="11">
        <f t="shared" si="0"/>
        <v>5.1183079484302008E-2</v>
      </c>
      <c r="F11" s="16">
        <f>BlackScholesCall($O$1,F$1,$C11,$E11,'Volatility table'!D11/100)</f>
        <v>50.782509700640389</v>
      </c>
      <c r="G11" s="16">
        <f>BlackScholesCall($O$1,G$1,$C11,$E11,'Volatility table'!E11/100)</f>
        <v>42.186778199061514</v>
      </c>
      <c r="H11" s="16">
        <f>BlackScholesCall($O$1,H$1,$C11,$E11,'Volatility table'!F11/100)</f>
        <v>33.983110529238459</v>
      </c>
      <c r="I11" s="16">
        <f>BlackScholesCall($O$1,I$1,$C11,$E11,'Volatility table'!G11/100)</f>
        <v>30.066994863340092</v>
      </c>
      <c r="J11" s="16">
        <f>BlackScholesCall($O$1,J$1,$C11,$E11,'Volatility table'!H11/100)</f>
        <v>26.29393073788858</v>
      </c>
      <c r="K11" s="16">
        <f>BlackScholesCall($O$1,K$1,$C11,$E11,'Volatility table'!I11/100)</f>
        <v>22.700104719791497</v>
      </c>
      <c r="L11" s="16">
        <f>BlackScholesCall($O$1,L$1,$C11,$E11,'Volatility table'!J11/100)</f>
        <v>19.302378716880952</v>
      </c>
      <c r="M11" s="16">
        <f>BlackScholesCall($O$1,M$1,$C11,$E11,'Volatility table'!K11/100)</f>
        <v>16.122383530521283</v>
      </c>
      <c r="N11" s="16">
        <f>BlackScholesCall($O$1,N$1,$C11,$E11,'Volatility table'!L11/100)</f>
        <v>14.630990226313287</v>
      </c>
      <c r="O11" s="16">
        <f>BlackScholesCall($O$1,O$1,$C11,$E11,'Volatility table'!M11/100)</f>
        <v>13.202282679913189</v>
      </c>
      <c r="P11" s="16">
        <f>BlackScholesCall($O$1,P$1,$C11,$E11,'Volatility table'!N11/100)</f>
        <v>11.846353846060488</v>
      </c>
      <c r="Q11" s="16">
        <f>BlackScholesCall($O$1,Q$1,$C11,$E11,'Volatility table'!O11/100)</f>
        <v>10.572278370802998</v>
      </c>
      <c r="R11" s="16">
        <f>BlackScholesCall($O$1,R$1,$C11,$E11,'Volatility table'!P11/100)</f>
        <v>8.2717438552635798</v>
      </c>
      <c r="S11" s="16">
        <f>BlackScholesCall($O$1,S$1,$C11,$E11,'Volatility table'!Q11/100)</f>
        <v>6.3505895543200594</v>
      </c>
      <c r="T11" s="16">
        <f>BlackScholesCall($O$1,T$1,$C11,$E11,'Volatility table'!R11/100)</f>
        <v>4.8161066746669974</v>
      </c>
      <c r="U11" s="16">
        <f>BlackScholesCall($O$1,U$1,$C11,$E11,'Volatility table'!S11/100)</f>
        <v>3.6331642214885527</v>
      </c>
      <c r="V11" s="16">
        <f>BlackScholesCall($O$1,V$1,$C11,$E11,'Volatility table'!T11/100)</f>
        <v>2.7459992569571021</v>
      </c>
      <c r="W11" s="16">
        <f>BlackScholesCall($O$1,W$1,$C11,$E11,'Volatility table'!U11/100)</f>
        <v>1.5887687751163284</v>
      </c>
      <c r="X11" s="16">
        <f>BlackScholesCall($O$1,X$1,$C11,$E11,'Volatility table'!V11/100)</f>
        <v>0.93119218476083088</v>
      </c>
    </row>
    <row r="12" spans="1:24" x14ac:dyDescent="0.3">
      <c r="A12" s="3" t="s">
        <v>14</v>
      </c>
      <c r="B12" s="4">
        <f>'Volatility table'!B12</f>
        <v>45209</v>
      </c>
      <c r="C12" s="10">
        <f>YEARFRAC(RF!$E$1,$B12,3)</f>
        <v>0.91506849315068495</v>
      </c>
      <c r="D12" s="5">
        <f>'Volatility table'!C12</f>
        <v>100.76</v>
      </c>
      <c r="E12" s="11">
        <f t="shared" si="0"/>
        <v>5.1196611350677657E-2</v>
      </c>
      <c r="F12" s="16">
        <f>BlackScholesCall($O$1,F$1,$C12,$E12,'Volatility table'!D12/100)</f>
        <v>51.07590942840632</v>
      </c>
      <c r="G12" s="16">
        <f>BlackScholesCall($O$1,G$1,$C12,$E12,'Volatility table'!E12/100)</f>
        <v>42.57779691174089</v>
      </c>
      <c r="H12" s="16">
        <f>BlackScholesCall($O$1,H$1,$C12,$E12,'Volatility table'!F12/100)</f>
        <v>34.477753681228961</v>
      </c>
      <c r="I12" s="16">
        <f>BlackScholesCall($O$1,I$1,$C12,$E12,'Volatility table'!G12/100)</f>
        <v>30.612724254135742</v>
      </c>
      <c r="J12" s="16">
        <f>BlackScholesCall($O$1,J$1,$C12,$E12,'Volatility table'!H12/100)</f>
        <v>26.888108630767988</v>
      </c>
      <c r="K12" s="16">
        <f>BlackScholesCall($O$1,K$1,$C12,$E12,'Volatility table'!I12/100)</f>
        <v>23.337455699115601</v>
      </c>
      <c r="L12" s="16">
        <f>BlackScholesCall($O$1,L$1,$C12,$E12,'Volatility table'!J12/100)</f>
        <v>19.975567224860363</v>
      </c>
      <c r="M12" s="16">
        <f>BlackScholesCall($O$1,M$1,$C12,$E12,'Volatility table'!K12/100)</f>
        <v>16.820879120260791</v>
      </c>
      <c r="N12" s="16">
        <f>BlackScholesCall($O$1,N$1,$C12,$E12,'Volatility table'!L12/100)</f>
        <v>15.337166073783301</v>
      </c>
      <c r="O12" s="16">
        <f>BlackScholesCall($O$1,O$1,$C12,$E12,'Volatility table'!M12/100)</f>
        <v>13.912359961240448</v>
      </c>
      <c r="P12" s="16">
        <f>BlackScholesCall($O$1,P$1,$C12,$E12,'Volatility table'!N12/100)</f>
        <v>12.55515717542221</v>
      </c>
      <c r="Q12" s="16">
        <f>BlackScholesCall($O$1,Q$1,$C12,$E12,'Volatility table'!O12/100)</f>
        <v>11.275126355425776</v>
      </c>
      <c r="R12" s="16">
        <f>BlackScholesCall($O$1,R$1,$C12,$E12,'Volatility table'!P12/100)</f>
        <v>8.944217501059029</v>
      </c>
      <c r="S12" s="16">
        <f>BlackScholesCall($O$1,S$1,$C12,$E12,'Volatility table'!Q12/100)</f>
        <v>6.9659212243668449</v>
      </c>
      <c r="T12" s="16">
        <f>BlackScholesCall($O$1,T$1,$C12,$E12,'Volatility table'!R12/100)</f>
        <v>5.354683762912849</v>
      </c>
      <c r="U12" s="16">
        <f>BlackScholesCall($O$1,U$1,$C12,$E12,'Volatility table'!S12/100)</f>
        <v>4.0905158598594902</v>
      </c>
      <c r="V12" s="16">
        <f>BlackScholesCall($O$1,V$1,$C12,$E12,'Volatility table'!T12/100)</f>
        <v>3.1303862401663878</v>
      </c>
      <c r="W12" s="16">
        <f>BlackScholesCall($O$1,W$1,$C12,$E12,'Volatility table'!U12/100)</f>
        <v>1.8596677164196098</v>
      </c>
      <c r="X12" s="16">
        <f>BlackScholesCall($O$1,X$1,$C12,$E12,'Volatility table'!V12/100)</f>
        <v>1.120910563538942</v>
      </c>
    </row>
    <row r="13" spans="1:24" x14ac:dyDescent="0.3">
      <c r="A13" s="3" t="s">
        <v>15</v>
      </c>
      <c r="B13" s="4">
        <f>'Volatility table'!B13</f>
        <v>45240</v>
      </c>
      <c r="C13" s="10">
        <f>YEARFRAC(RF!$E$1,$B13,3)</f>
        <v>1</v>
      </c>
      <c r="D13" s="5">
        <f>'Volatility table'!C13</f>
        <v>101.182</v>
      </c>
      <c r="E13" s="11">
        <f t="shared" si="0"/>
        <v>5.1132349885726347E-2</v>
      </c>
      <c r="F13" s="16">
        <f>BlackScholesCall($O$1,F$1,$C13,$E13,'Volatility table'!D13/100)</f>
        <v>51.388654515037715</v>
      </c>
      <c r="G13" s="16">
        <f>BlackScholesCall($O$1,G$1,$C13,$E13,'Volatility table'!E13/100)</f>
        <v>42.990766009273685</v>
      </c>
      <c r="H13" s="16">
        <f>BlackScholesCall($O$1,H$1,$C13,$E13,'Volatility table'!F13/100)</f>
        <v>34.994809608248751</v>
      </c>
      <c r="I13" s="16">
        <f>BlackScholesCall($O$1,I$1,$C13,$E13,'Volatility table'!G13/100)</f>
        <v>31.18023056773778</v>
      </c>
      <c r="J13" s="16">
        <f>BlackScholesCall($O$1,J$1,$C13,$E13,'Volatility table'!H13/100)</f>
        <v>27.503006870596536</v>
      </c>
      <c r="K13" s="16">
        <f>BlackScholesCall($O$1,K$1,$C13,$E13,'Volatility table'!I13/100)</f>
        <v>23.994484821500741</v>
      </c>
      <c r="L13" s="16">
        <f>BlackScholesCall($O$1,L$1,$C13,$E13,'Volatility table'!J13/100)</f>
        <v>20.667132636579609</v>
      </c>
      <c r="M13" s="16">
        <f>BlackScholesCall($O$1,M$1,$C13,$E13,'Volatility table'!K13/100)</f>
        <v>17.537043794579361</v>
      </c>
      <c r="N13" s="16">
        <f>BlackScholesCall($O$1,N$1,$C13,$E13,'Volatility table'!L13/100)</f>
        <v>16.060516148166037</v>
      </c>
      <c r="O13" s="16">
        <f>BlackScholesCall($O$1,O$1,$C13,$E13,'Volatility table'!M13/100)</f>
        <v>14.63928721919207</v>
      </c>
      <c r="P13" s="16">
        <f>BlackScholesCall($O$1,P$1,$C13,$E13,'Volatility table'!N13/100)</f>
        <v>13.281358324565687</v>
      </c>
      <c r="Q13" s="16">
        <f>BlackScholesCall($O$1,Q$1,$C13,$E13,'Volatility table'!O13/100)</f>
        <v>11.995776461658949</v>
      </c>
      <c r="R13" s="16">
        <f>BlackScholesCall($O$1,R$1,$C13,$E13,'Volatility table'!P13/100)</f>
        <v>9.636386413236707</v>
      </c>
      <c r="S13" s="16">
        <f>BlackScholesCall($O$1,S$1,$C13,$E13,'Volatility table'!Q13/100)</f>
        <v>7.6047501149904377</v>
      </c>
      <c r="T13" s="16">
        <f>BlackScholesCall($O$1,T$1,$C13,$E13,'Volatility table'!R13/100)</f>
        <v>5.9199667864676648</v>
      </c>
      <c r="U13" s="16">
        <f>BlackScholesCall($O$1,U$1,$C13,$E13,'Volatility table'!S13/100)</f>
        <v>4.5770108761925812</v>
      </c>
      <c r="V13" s="16">
        <f>BlackScholesCall($O$1,V$1,$C13,$E13,'Volatility table'!T13/100)</f>
        <v>3.5447841002237013</v>
      </c>
      <c r="W13" s="16">
        <f>BlackScholesCall($O$1,W$1,$C13,$E13,'Volatility table'!U13/100)</f>
        <v>2.1593493134396926</v>
      </c>
      <c r="X13" s="16">
        <f>BlackScholesCall($O$1,X$1,$C13,$E13,'Volatility table'!V13/100)</f>
        <v>1.3367312482396478</v>
      </c>
    </row>
    <row r="14" spans="1:24" x14ac:dyDescent="0.3">
      <c r="A14" s="3" t="s">
        <v>16</v>
      </c>
      <c r="B14" s="4">
        <f>'Volatility table'!B14</f>
        <v>45271</v>
      </c>
      <c r="C14" s="10">
        <f>YEARFRAC(RF!$E$1,$B14,3)</f>
        <v>1.0849315068493151</v>
      </c>
      <c r="D14" s="5">
        <f>'Volatility table'!C14</f>
        <v>101.595</v>
      </c>
      <c r="E14" s="11">
        <f t="shared" si="0"/>
        <v>5.0975486460803188E-2</v>
      </c>
      <c r="F14" s="16">
        <f>BlackScholesCall($O$1,F$1,$C14,$E14,'Volatility table'!D14/100)</f>
        <v>51.69844300588575</v>
      </c>
      <c r="G14" s="16">
        <f>BlackScholesCall($O$1,G$1,$C14,$E14,'Volatility table'!E14/100)</f>
        <v>43.396316346889577</v>
      </c>
      <c r="H14" s="16">
        <f>BlackScholesCall($O$1,H$1,$C14,$E14,'Volatility table'!F14/100)</f>
        <v>35.498151590105905</v>
      </c>
      <c r="I14" s="16">
        <f>BlackScholesCall($O$1,I$1,$C14,$E14,'Volatility table'!G14/100)</f>
        <v>31.730389858871185</v>
      </c>
      <c r="J14" s="16">
        <f>BlackScholesCall($O$1,J$1,$C14,$E14,'Volatility table'!H14/100)</f>
        <v>28.096586110734414</v>
      </c>
      <c r="K14" s="16">
        <f>BlackScholesCall($O$1,K$1,$C14,$E14,'Volatility table'!I14/100)</f>
        <v>24.626376468011252</v>
      </c>
      <c r="L14" s="16">
        <f>BlackScholesCall($O$1,L$1,$C14,$E14,'Volatility table'!J14/100)</f>
        <v>21.330528966110059</v>
      </c>
      <c r="M14" s="16">
        <f>BlackScholesCall($O$1,M$1,$C14,$E14,'Volatility table'!K14/100)</f>
        <v>18.222555957798498</v>
      </c>
      <c r="N14" s="16">
        <f>BlackScholesCall($O$1,N$1,$C14,$E14,'Volatility table'!L14/100)</f>
        <v>16.752936604381965</v>
      </c>
      <c r="O14" s="16">
        <f>BlackScholesCall($O$1,O$1,$C14,$E14,'Volatility table'!M14/100)</f>
        <v>15.335007524755774</v>
      </c>
      <c r="P14" s="16">
        <f>BlackScholesCall($O$1,P$1,$C14,$E14,'Volatility table'!N14/100)</f>
        <v>13.977225858206261</v>
      </c>
      <c r="Q14" s="16">
        <f>BlackScholesCall($O$1,Q$1,$C14,$E14,'Volatility table'!O14/100)</f>
        <v>12.686579076102696</v>
      </c>
      <c r="R14" s="16">
        <f>BlackScholesCall($O$1,R$1,$C14,$E14,'Volatility table'!P14/100)</f>
        <v>10.303013802462331</v>
      </c>
      <c r="S14" s="16">
        <f>BlackScholesCall($O$1,S$1,$C14,$E14,'Volatility table'!Q14/100)</f>
        <v>8.223741460100662</v>
      </c>
      <c r="T14" s="16">
        <f>BlackScholesCall($O$1,T$1,$C14,$E14,'Volatility table'!R14/100)</f>
        <v>6.4733368029454503</v>
      </c>
      <c r="U14" s="16">
        <f>BlackScholesCall($O$1,U$1,$C14,$E14,'Volatility table'!S14/100)</f>
        <v>5.0588993675800822</v>
      </c>
      <c r="V14" s="16">
        <f>BlackScholesCall($O$1,V$1,$C14,$E14,'Volatility table'!T14/100)</f>
        <v>3.9598752609690209</v>
      </c>
      <c r="W14" s="16">
        <f>BlackScholesCall($O$1,W$1,$C14,$E14,'Volatility table'!U14/100)</f>
        <v>2.4671231853167299</v>
      </c>
      <c r="X14" s="16">
        <f>BlackScholesCall($O$1,X$1,$C14,$E14,'Volatility table'!V14/100)</f>
        <v>1.5638154453356936</v>
      </c>
    </row>
    <row r="15" spans="1:24" x14ac:dyDescent="0.3">
      <c r="A15" s="3" t="s">
        <v>17</v>
      </c>
      <c r="B15" s="4">
        <f>'Volatility table'!B15</f>
        <v>45301</v>
      </c>
      <c r="C15" s="10">
        <f>YEARFRAC(RF!$E$1,$B15,3)</f>
        <v>1.167123287671233</v>
      </c>
      <c r="D15" s="5">
        <f>'Volatility table'!C15</f>
        <v>101.98699999999999</v>
      </c>
      <c r="E15" s="11">
        <f t="shared" si="0"/>
        <v>5.0763496879421055E-2</v>
      </c>
      <c r="F15" s="16">
        <f>BlackScholesCall($O$1,F$1,$C15,$E15,'Volatility table'!D15/100)</f>
        <v>51.995287977334584</v>
      </c>
      <c r="G15" s="16">
        <f>BlackScholesCall($O$1,G$1,$C15,$E15,'Volatility table'!E15/100)</f>
        <v>43.781953344347407</v>
      </c>
      <c r="H15" s="16">
        <f>BlackScholesCall($O$1,H$1,$C15,$E15,'Volatility table'!F15/100)</f>
        <v>35.972771801254552</v>
      </c>
      <c r="I15" s="16">
        <f>BlackScholesCall($O$1,I$1,$C15,$E15,'Volatility table'!G15/100)</f>
        <v>32.247203231794366</v>
      </c>
      <c r="J15" s="16">
        <f>BlackScholesCall($O$1,J$1,$C15,$E15,'Volatility table'!H15/100)</f>
        <v>28.652519412080757</v>
      </c>
      <c r="K15" s="16">
        <f>BlackScholesCall($O$1,K$1,$C15,$E15,'Volatility table'!I15/100)</f>
        <v>25.216747268935826</v>
      </c>
      <c r="L15" s="16">
        <f>BlackScholesCall($O$1,L$1,$C15,$E15,'Volatility table'!J15/100)</f>
        <v>21.948570049610467</v>
      </c>
      <c r="M15" s="16">
        <f>BlackScholesCall($O$1,M$1,$C15,$E15,'Volatility table'!K15/100)</f>
        <v>18.860522666224718</v>
      </c>
      <c r="N15" s="16">
        <f>BlackScholesCall($O$1,N$1,$C15,$E15,'Volatility table'!L15/100)</f>
        <v>17.397033112248216</v>
      </c>
      <c r="O15" s="16">
        <f>BlackScholesCall($O$1,O$1,$C15,$E15,'Volatility table'!M15/100)</f>
        <v>15.982351761745491</v>
      </c>
      <c r="P15" s="16">
        <f>BlackScholesCall($O$1,P$1,$C15,$E15,'Volatility table'!N15/100)</f>
        <v>14.624313535868531</v>
      </c>
      <c r="Q15" s="16">
        <f>BlackScholesCall($O$1,Q$1,$C15,$E15,'Volatility table'!O15/100)</f>
        <v>13.330133987058311</v>
      </c>
      <c r="R15" s="16">
        <f>BlackScholesCall($O$1,R$1,$C15,$E15,'Volatility table'!P15/100)</f>
        <v>10.925427221233036</v>
      </c>
      <c r="S15" s="16">
        <f>BlackScholesCall($O$1,S$1,$C15,$E15,'Volatility table'!Q15/100)</f>
        <v>8.8056931743139373</v>
      </c>
      <c r="T15" s="16">
        <f>BlackScholesCall($O$1,T$1,$C15,$E15,'Volatility table'!R15/100)</f>
        <v>6.9977042010691406</v>
      </c>
      <c r="U15" s="16">
        <f>BlackScholesCall($O$1,U$1,$C15,$E15,'Volatility table'!S15/100)</f>
        <v>5.5197054991217556</v>
      </c>
      <c r="V15" s="16">
        <f>BlackScholesCall($O$1,V$1,$C15,$E15,'Volatility table'!T15/100)</f>
        <v>4.3610218330797039</v>
      </c>
      <c r="W15" s="16">
        <f>BlackScholesCall($O$1,W$1,$C15,$E15,'Volatility table'!U15/100)</f>
        <v>2.771022549559234</v>
      </c>
      <c r="X15" s="16">
        <f>BlackScholesCall($O$1,X$1,$C15,$E15,'Volatility table'!V15/100)</f>
        <v>1.7928240825900836</v>
      </c>
    </row>
    <row r="16" spans="1:24" x14ac:dyDescent="0.3">
      <c r="A16" s="3" t="s">
        <v>18</v>
      </c>
      <c r="B16" s="4">
        <f>'Volatility table'!B16</f>
        <v>45334</v>
      </c>
      <c r="C16" s="10">
        <f>YEARFRAC(RF!$E$1,$B16,3)</f>
        <v>1.2575342465753425</v>
      </c>
      <c r="D16" s="5">
        <f>'Volatility table'!C16</f>
        <v>102.411</v>
      </c>
      <c r="E16" s="11">
        <f t="shared" si="0"/>
        <v>5.0489373541673377E-2</v>
      </c>
      <c r="F16" s="16">
        <f>BlackScholesCall($O$1,F$1,$C16,$E16,'Volatility table'!D16/100)</f>
        <v>52.298346530947896</v>
      </c>
      <c r="G16" s="16">
        <f>BlackScholesCall($O$1,G$1,$C16,$E16,'Volatility table'!E16/100)</f>
        <v>44.174138068903595</v>
      </c>
      <c r="H16" s="16">
        <f>BlackScholesCall($O$1,H$1,$C16,$E16,'Volatility table'!F16/100)</f>
        <v>36.455891348133825</v>
      </c>
      <c r="I16" s="16">
        <f>BlackScholesCall($O$1,I$1,$C16,$E16,'Volatility table'!G16/100)</f>
        <v>32.774239509410663</v>
      </c>
      <c r="J16" s="16">
        <f>BlackScholesCall($O$1,J$1,$C16,$E16,'Volatility table'!H16/100)</f>
        <v>29.2209663963135</v>
      </c>
      <c r="K16" s="16">
        <f>BlackScholesCall($O$1,K$1,$C16,$E16,'Volatility table'!I16/100)</f>
        <v>25.822526244226914</v>
      </c>
      <c r="L16" s="16">
        <f>BlackScholesCall($O$1,L$1,$C16,$E16,'Volatility table'!J16/100)</f>
        <v>22.586882330600204</v>
      </c>
      <c r="M16" s="16">
        <f>BlackScholesCall($O$1,M$1,$C16,$E16,'Volatility table'!K16/100)</f>
        <v>19.524035251014347</v>
      </c>
      <c r="N16" s="16">
        <f>BlackScholesCall($O$1,N$1,$C16,$E16,'Volatility table'!L16/100)</f>
        <v>18.069877011898633</v>
      </c>
      <c r="O16" s="16">
        <f>BlackScholesCall($O$1,O$1,$C16,$E16,'Volatility table'!M16/100)</f>
        <v>16.661879228622269</v>
      </c>
      <c r="P16" s="16">
        <f>BlackScholesCall($O$1,P$1,$C16,$E16,'Volatility table'!N16/100)</f>
        <v>15.307205561364391</v>
      </c>
      <c r="Q16" s="16">
        <f>BlackScholesCall($O$1,Q$1,$C16,$E16,'Volatility table'!O16/100)</f>
        <v>14.013290425771658</v>
      </c>
      <c r="R16" s="16">
        <f>BlackScholesCall($O$1,R$1,$C16,$E16,'Volatility table'!P16/100)</f>
        <v>11.597683075205275</v>
      </c>
      <c r="S16" s="16">
        <f>BlackScholesCall($O$1,S$1,$C16,$E16,'Volatility table'!Q16/100)</f>
        <v>9.4489372830909844</v>
      </c>
      <c r="T16" s="16">
        <f>BlackScholesCall($O$1,T$1,$C16,$E16,'Volatility table'!R16/100)</f>
        <v>7.5927771454153117</v>
      </c>
      <c r="U16" s="16">
        <f>BlackScholesCall($O$1,U$1,$C16,$E16,'Volatility table'!S16/100)</f>
        <v>6.0493343911084025</v>
      </c>
      <c r="V16" s="16">
        <f>BlackScholesCall($O$1,V$1,$C16,$E16,'Volatility table'!T16/100)</f>
        <v>4.8161509159084943</v>
      </c>
      <c r="W16" s="16">
        <f>BlackScholesCall($O$1,W$1,$C16,$E16,'Volatility table'!U16/100)</f>
        <v>3.0767403353821372</v>
      </c>
      <c r="X16" s="16">
        <f>BlackScholesCall($O$1,X$1,$C16,$E16,'Volatility table'!V16/100)</f>
        <v>1.9782942466493036</v>
      </c>
    </row>
    <row r="17" spans="1:24" x14ac:dyDescent="0.3">
      <c r="A17" s="3" t="s">
        <v>19</v>
      </c>
      <c r="B17" s="4">
        <f>'Volatility table'!B17</f>
        <v>45362</v>
      </c>
      <c r="C17" s="10">
        <f>YEARFRAC(RF!$E$1,$B17,3)</f>
        <v>1.3342465753424657</v>
      </c>
      <c r="D17" s="5">
        <f>'Volatility table'!C17</f>
        <v>102.76300000000001</v>
      </c>
      <c r="E17" s="11">
        <f t="shared" si="0"/>
        <v>5.0215958575772213E-2</v>
      </c>
      <c r="F17" s="16">
        <f>BlackScholesCall($O$1,F$1,$C17,$E17,'Volatility table'!D17/100)</f>
        <v>52.544946427020164</v>
      </c>
      <c r="G17" s="16">
        <f>BlackScholesCall($O$1,G$1,$C17,$E17,'Volatility table'!E17/100)</f>
        <v>44.492082597991704</v>
      </c>
      <c r="H17" s="16">
        <f>BlackScholesCall($O$1,H$1,$C17,$E17,'Volatility table'!F17/100)</f>
        <v>36.846752144379828</v>
      </c>
      <c r="I17" s="16">
        <f>BlackScholesCall($O$1,I$1,$C17,$E17,'Volatility table'!G17/100)</f>
        <v>33.20055401760149</v>
      </c>
      <c r="J17" s="16">
        <f>BlackScholesCall($O$1,J$1,$C17,$E17,'Volatility table'!H17/100)</f>
        <v>29.681190740793213</v>
      </c>
      <c r="K17" s="16">
        <f>BlackScholesCall($O$1,K$1,$C17,$E17,'Volatility table'!I17/100)</f>
        <v>26.3136822853469</v>
      </c>
      <c r="L17" s="16">
        <f>BlackScholesCall($O$1,L$1,$C17,$E17,'Volatility table'!J17/100)</f>
        <v>23.104920979595164</v>
      </c>
      <c r="M17" s="16">
        <f>BlackScholesCall($O$1,M$1,$C17,$E17,'Volatility table'!K17/100)</f>
        <v>20.063687972393915</v>
      </c>
      <c r="N17" s="16">
        <f>BlackScholesCall($O$1,N$1,$C17,$E17,'Volatility table'!L17/100)</f>
        <v>18.617454806779051</v>
      </c>
      <c r="O17" s="16">
        <f>BlackScholesCall($O$1,O$1,$C17,$E17,'Volatility table'!M17/100)</f>
        <v>17.216103962455144</v>
      </c>
      <c r="P17" s="16">
        <f>BlackScholesCall($O$1,P$1,$C17,$E17,'Volatility table'!N17/100)</f>
        <v>15.865794077181789</v>
      </c>
      <c r="Q17" s="16">
        <f>BlackScholesCall($O$1,Q$1,$C17,$E17,'Volatility table'!O17/100)</f>
        <v>14.573386762583723</v>
      </c>
      <c r="R17" s="16">
        <f>BlackScholesCall($O$1,R$1,$C17,$E17,'Volatility table'!P17/100)</f>
        <v>12.152632225545467</v>
      </c>
      <c r="S17" s="16">
        <f>BlackScholesCall($O$1,S$1,$C17,$E17,'Volatility table'!Q17/100)</f>
        <v>9.9855818302930004</v>
      </c>
      <c r="T17" s="16">
        <f>BlackScholesCall($O$1,T$1,$C17,$E17,'Volatility table'!R17/100)</f>
        <v>8.095049839317511</v>
      </c>
      <c r="U17" s="16">
        <f>BlackScholesCall($O$1,U$1,$C17,$E17,'Volatility table'!S17/100)</f>
        <v>6.5009127919753098</v>
      </c>
      <c r="V17" s="16">
        <f>BlackScholesCall($O$1,V$1,$C17,$E17,'Volatility table'!T17/100)</f>
        <v>5.2038270946938141</v>
      </c>
      <c r="W17" s="16">
        <f>BlackScholesCall($O$1,W$1,$C17,$E17,'Volatility table'!U17/100)</f>
        <v>3.3281682108488475</v>
      </c>
      <c r="X17" s="16">
        <f>BlackScholesCall($O$1,X$1,$C17,$E17,'Volatility table'!V17/100)</f>
        <v>2.1147903880391947</v>
      </c>
    </row>
    <row r="18" spans="1:24" x14ac:dyDescent="0.3">
      <c r="A18" s="3" t="s">
        <v>20</v>
      </c>
      <c r="B18" s="4">
        <f>'Volatility table'!B18</f>
        <v>45392</v>
      </c>
      <c r="C18" s="10">
        <f>YEARFRAC(RF!$E$1,$B18,3)</f>
        <v>1.4164383561643836</v>
      </c>
      <c r="D18" s="5">
        <f>'Volatility table'!C18</f>
        <v>103.13500000000001</v>
      </c>
      <c r="E18" s="11">
        <f t="shared" si="0"/>
        <v>4.9909332926596051E-2</v>
      </c>
      <c r="F18" s="16">
        <f>BlackScholesCall($O$1,F$1,$C18,$E18,'Volatility table'!D18/100)</f>
        <v>52.805921370488853</v>
      </c>
      <c r="G18" s="16">
        <f>BlackScholesCall($O$1,G$1,$C18,$E18,'Volatility table'!E18/100)</f>
        <v>44.827343287194388</v>
      </c>
      <c r="H18" s="16">
        <f>BlackScholesCall($O$1,H$1,$C18,$E18,'Volatility table'!F18/100)</f>
        <v>37.257111398880014</v>
      </c>
      <c r="I18" s="16">
        <f>BlackScholesCall($O$1,I$1,$C18,$E18,'Volatility table'!G18/100)</f>
        <v>33.647059785028027</v>
      </c>
      <c r="J18" s="16">
        <f>BlackScholesCall($O$1,J$1,$C18,$E18,'Volatility table'!H18/100)</f>
        <v>30.161805503466759</v>
      </c>
      <c r="K18" s="16">
        <f>BlackScholesCall($O$1,K$1,$C18,$E18,'Volatility table'!I18/100)</f>
        <v>26.825871297156091</v>
      </c>
      <c r="L18" s="16">
        <f>BlackScholesCall($O$1,L$1,$C18,$E18,'Volatility table'!J18/100)</f>
        <v>23.644196795201232</v>
      </c>
      <c r="M18" s="16">
        <f>BlackScholesCall($O$1,M$1,$C18,$E18,'Volatility table'!K18/100)</f>
        <v>20.62472244170543</v>
      </c>
      <c r="N18" s="16">
        <f>BlackScholesCall($O$1,N$1,$C18,$E18,'Volatility table'!L18/100)</f>
        <v>19.187294033759756</v>
      </c>
      <c r="O18" s="16">
        <f>BlackScholesCall($O$1,O$1,$C18,$E18,'Volatility table'!M18/100)</f>
        <v>17.791856711451665</v>
      </c>
      <c r="P18" s="16">
        <f>BlackScholesCall($O$1,P$1,$C18,$E18,'Volatility table'!N18/100)</f>
        <v>16.446020125052861</v>
      </c>
      <c r="Q18" s="16">
        <f>BlackScholesCall($O$1,Q$1,$C18,$E18,'Volatility table'!O18/100)</f>
        <v>15.15567374513757</v>
      </c>
      <c r="R18" s="16">
        <f>BlackScholesCall($O$1,R$1,$C18,$E18,'Volatility table'!P18/100)</f>
        <v>12.730542718777102</v>
      </c>
      <c r="S18" s="16">
        <f>BlackScholesCall($O$1,S$1,$C18,$E18,'Volatility table'!Q18/100)</f>
        <v>10.545507690712157</v>
      </c>
      <c r="T18" s="16">
        <f>BlackScholesCall($O$1,T$1,$C18,$E18,'Volatility table'!R18/100)</f>
        <v>8.621927920263488</v>
      </c>
      <c r="U18" s="16">
        <f>BlackScholesCall($O$1,U$1,$C18,$E18,'Volatility table'!S18/100)</f>
        <v>6.9779064188679278</v>
      </c>
      <c r="V18" s="16">
        <f>BlackScholesCall($O$1,V$1,$C18,$E18,'Volatility table'!T18/100)</f>
        <v>5.6169642816808398</v>
      </c>
      <c r="W18" s="16">
        <f>BlackScholesCall($O$1,W$1,$C18,$E18,'Volatility table'!U18/100)</f>
        <v>3.600222136800145</v>
      </c>
      <c r="X18" s="16">
        <f>BlackScholesCall($O$1,X$1,$C18,$E18,'Volatility table'!V18/100)</f>
        <v>2.2637888656724829</v>
      </c>
    </row>
    <row r="19" spans="1:24" x14ac:dyDescent="0.3">
      <c r="A19" s="3" t="s">
        <v>21</v>
      </c>
      <c r="B19" s="4">
        <f>'Volatility table'!B19</f>
        <v>45422</v>
      </c>
      <c r="C19" s="10">
        <f>YEARFRAC(RF!$E$1,$B19,3)</f>
        <v>1.4986301369863013</v>
      </c>
      <c r="D19" s="5">
        <f>'Volatility table'!C19</f>
        <v>103.501</v>
      </c>
      <c r="E19" s="11">
        <f t="shared" si="0"/>
        <v>4.9586703992276382E-2</v>
      </c>
      <c r="F19" s="16">
        <f>BlackScholesCall($O$1,F$1,$C19,$E19,'Volatility table'!D19/100)</f>
        <v>53.063156965910792</v>
      </c>
      <c r="G19" s="16">
        <f>BlackScholesCall($O$1,G$1,$C19,$E19,'Volatility table'!E19/100)</f>
        <v>45.156344015207964</v>
      </c>
      <c r="H19" s="16">
        <f>BlackScholesCall($O$1,H$1,$C19,$E19,'Volatility table'!F19/100)</f>
        <v>37.658075318427954</v>
      </c>
      <c r="I19" s="16">
        <f>BlackScholesCall($O$1,I$1,$C19,$E19,'Volatility table'!G19/100)</f>
        <v>34.0826982521166</v>
      </c>
      <c r="J19" s="16">
        <f>BlackScholesCall($O$1,J$1,$C19,$E19,'Volatility table'!H19/100)</f>
        <v>30.630102185605274</v>
      </c>
      <c r="K19" s="16">
        <f>BlackScholesCall($O$1,K$1,$C19,$E19,'Volatility table'!I19/100)</f>
        <v>27.323738459414592</v>
      </c>
      <c r="L19" s="16">
        <f>BlackScholesCall($O$1,L$1,$C19,$E19,'Volatility table'!J19/100)</f>
        <v>24.167602024597656</v>
      </c>
      <c r="M19" s="16">
        <f>BlackScholesCall($O$1,M$1,$C19,$E19,'Volatility table'!K19/100)</f>
        <v>21.169034045605422</v>
      </c>
      <c r="N19" s="16">
        <f>BlackScholesCall($O$1,N$1,$C19,$E19,'Volatility table'!L19/100)</f>
        <v>19.739537601185134</v>
      </c>
      <c r="O19" s="16">
        <f>BlackScholesCall($O$1,O$1,$C19,$E19,'Volatility table'!M19/100)</f>
        <v>18.350494581287599</v>
      </c>
      <c r="P19" s="16">
        <f>BlackScholesCall($O$1,P$1,$C19,$E19,'Volatility table'!N19/100)</f>
        <v>17.008931682020901</v>
      </c>
      <c r="Q19" s="16">
        <f>BlackScholesCall($O$1,Q$1,$C19,$E19,'Volatility table'!O19/100)</f>
        <v>15.720590164453846</v>
      </c>
      <c r="R19" s="16">
        <f>BlackScholesCall($O$1,R$1,$C19,$E19,'Volatility table'!P19/100)</f>
        <v>13.291879559018206</v>
      </c>
      <c r="S19" s="16">
        <f>BlackScholesCall($O$1,S$1,$C19,$E19,'Volatility table'!Q19/100)</f>
        <v>11.09111131468665</v>
      </c>
      <c r="T19" s="16">
        <f>BlackScholesCall($O$1,T$1,$C19,$E19,'Volatility table'!R19/100)</f>
        <v>9.1374328711730186</v>
      </c>
      <c r="U19" s="16">
        <f>BlackScholesCall($O$1,U$1,$C19,$E19,'Volatility table'!S19/100)</f>
        <v>7.4469041582657916</v>
      </c>
      <c r="V19" s="16">
        <f>BlackScholesCall($O$1,V$1,$C19,$E19,'Volatility table'!T19/100)</f>
        <v>6.0263998218468622</v>
      </c>
      <c r="W19" s="16">
        <f>BlackScholesCall($O$1,W$1,$C19,$E19,'Volatility table'!U19/100)</f>
        <v>3.873774248649184</v>
      </c>
      <c r="X19" s="16">
        <f>BlackScholesCall($O$1,X$1,$C19,$E19,'Volatility table'!V19/100)</f>
        <v>2.4152948666437499</v>
      </c>
    </row>
    <row r="20" spans="1:24" x14ac:dyDescent="0.3">
      <c r="A20" s="3" t="s">
        <v>22</v>
      </c>
      <c r="B20" s="4">
        <f>'Volatility table'!B20</f>
        <v>45453</v>
      </c>
      <c r="C20" s="10">
        <f>YEARFRAC(RF!$E$1,$B20,3)</f>
        <v>1.5835616438356164</v>
      </c>
      <c r="D20" s="5">
        <f>'Volatility table'!C20</f>
        <v>103.872</v>
      </c>
      <c r="E20" s="11">
        <f t="shared" si="0"/>
        <v>4.9233962206381765E-2</v>
      </c>
      <c r="F20" s="16">
        <f>BlackScholesCall($O$1,F$1,$C20,$E20,'Volatility table'!D20/100)</f>
        <v>53.324818330670944</v>
      </c>
      <c r="G20" s="16">
        <f>BlackScholesCall($O$1,G$1,$C20,$E20,'Volatility table'!E20/100)</f>
        <v>45.489782387680826</v>
      </c>
      <c r="H20" s="16">
        <f>BlackScholesCall($O$1,H$1,$C20,$E20,'Volatility table'!F20/100)</f>
        <v>38.06312549267858</v>
      </c>
      <c r="I20" s="16">
        <f>BlackScholesCall($O$1,I$1,$C20,$E20,'Volatility table'!G20/100)</f>
        <v>34.521528372999867</v>
      </c>
      <c r="J20" s="16">
        <f>BlackScholesCall($O$1,J$1,$C20,$E20,'Volatility table'!H20/100)</f>
        <v>31.101162251308097</v>
      </c>
      <c r="K20" s="16">
        <f>BlackScholesCall($O$1,K$1,$C20,$E20,'Volatility table'!I20/100)</f>
        <v>27.823578107061898</v>
      </c>
      <c r="L20" s="16">
        <f>BlackScholesCall($O$1,L$1,$C20,$E20,'Volatility table'!J20/100)</f>
        <v>24.692980556518641</v>
      </c>
      <c r="M20" s="16">
        <f>BlackScholesCall($O$1,M$1,$C20,$E20,'Volatility table'!K20/100)</f>
        <v>21.714698333970546</v>
      </c>
      <c r="N20" s="16">
        <f>BlackScholesCall($O$1,N$1,$C20,$E20,'Volatility table'!L20/100)</f>
        <v>20.293091098952743</v>
      </c>
      <c r="O20" s="16">
        <f>BlackScholesCall($O$1,O$1,$C20,$E20,'Volatility table'!M20/100)</f>
        <v>18.910028836239725</v>
      </c>
      <c r="P20" s="16">
        <f>BlackScholesCall($O$1,P$1,$C20,$E20,'Volatility table'!N20/100)</f>
        <v>17.572829184061334</v>
      </c>
      <c r="Q20" s="16">
        <f>BlackScholesCall($O$1,Q$1,$C20,$E20,'Volatility table'!O20/100)</f>
        <v>16.287123862490191</v>
      </c>
      <c r="R20" s="16">
        <f>BlackScholesCall($O$1,R$1,$C20,$E20,'Volatility table'!P20/100)</f>
        <v>13.855418928153931</v>
      </c>
      <c r="S20" s="16">
        <f>BlackScholesCall($O$1,S$1,$C20,$E20,'Volatility table'!Q20/100)</f>
        <v>11.640215729782661</v>
      </c>
      <c r="T20" s="16">
        <f>BlackScholesCall($O$1,T$1,$C20,$E20,'Volatility table'!R20/100)</f>
        <v>9.6577155025314028</v>
      </c>
      <c r="U20" s="16">
        <f>BlackScholesCall($O$1,U$1,$C20,$E20,'Volatility table'!S20/100)</f>
        <v>7.9232789073592222</v>
      </c>
      <c r="V20" s="16">
        <f>BlackScholesCall($O$1,V$1,$C20,$E20,'Volatility table'!T20/100)</f>
        <v>6.4451385995499528</v>
      </c>
      <c r="W20" s="16">
        <f>BlackScholesCall($O$1,W$1,$C20,$E20,'Volatility table'!U20/100)</f>
        <v>4.1575469958653848</v>
      </c>
      <c r="X20" s="16">
        <f>BlackScholesCall($O$1,X$1,$C20,$E20,'Volatility table'!V20/100)</f>
        <v>2.5740921358523909</v>
      </c>
    </row>
    <row r="21" spans="1:24" x14ac:dyDescent="0.3">
      <c r="A21" s="3" t="s">
        <v>23</v>
      </c>
      <c r="B21" s="4">
        <f>'Volatility table'!B21</f>
        <v>45483</v>
      </c>
      <c r="C21" s="10">
        <f>YEARFRAC(RF!$E$1,$B21,3)</f>
        <v>1.6657534246575343</v>
      </c>
      <c r="D21" s="5">
        <f>'Volatility table'!C21</f>
        <v>104.227</v>
      </c>
      <c r="E21" s="11">
        <f t="shared" si="0"/>
        <v>4.8894934604871487E-2</v>
      </c>
      <c r="F21" s="16">
        <f>BlackScholesCall($O$1,F$1,$C21,$E21,'Volatility table'!D21/100)</f>
        <v>53.575085153996135</v>
      </c>
      <c r="G21" s="16">
        <f>BlackScholesCall($O$1,G$1,$C21,$E21,'Volatility table'!E21/100)</f>
        <v>45.8073305048283</v>
      </c>
      <c r="H21" s="16">
        <f>BlackScholesCall($O$1,H$1,$C21,$E21,'Volatility table'!F21/100)</f>
        <v>38.44712351964705</v>
      </c>
      <c r="I21" s="16">
        <f>BlackScholesCall($O$1,I$1,$C21,$E21,'Volatility table'!G21/100)</f>
        <v>34.9373280881575</v>
      </c>
      <c r="J21" s="16">
        <f>BlackScholesCall($O$1,J$1,$C21,$E21,'Volatility table'!H21/100)</f>
        <v>31.546407520616931</v>
      </c>
      <c r="K21" s="16">
        <f>BlackScholesCall($O$1,K$1,$C21,$E21,'Volatility table'!I21/100)</f>
        <v>28.295615406686416</v>
      </c>
      <c r="L21" s="16">
        <f>BlackScholesCall($O$1,L$1,$C21,$E21,'Volatility table'!J21/100)</f>
        <v>25.188105677790212</v>
      </c>
      <c r="M21" s="16">
        <f>BlackScholesCall($O$1,M$1,$C21,$E21,'Volatility table'!K21/100)</f>
        <v>22.228377427587539</v>
      </c>
      <c r="N21" s="16">
        <f>BlackScholesCall($O$1,N$1,$C21,$E21,'Volatility table'!L21/100)</f>
        <v>20.814418877768929</v>
      </c>
      <c r="O21" s="16">
        <f>BlackScholesCall($O$1,O$1,$C21,$E21,'Volatility table'!M21/100)</f>
        <v>19.437246702931141</v>
      </c>
      <c r="P21" s="16">
        <f>BlackScholesCall($O$1,P$1,$C21,$E21,'Volatility table'!N21/100)</f>
        <v>18.104036607103637</v>
      </c>
      <c r="Q21" s="16">
        <f>BlackScholesCall($O$1,Q$1,$C21,$E21,'Volatility table'!O21/100)</f>
        <v>16.820296011411543</v>
      </c>
      <c r="R21" s="16">
        <f>BlackScholesCall($O$1,R$1,$C21,$E21,'Volatility table'!P21/100)</f>
        <v>14.38663147788823</v>
      </c>
      <c r="S21" s="16">
        <f>BlackScholesCall($O$1,S$1,$C21,$E21,'Volatility table'!Q21/100)</f>
        <v>12.159197148732325</v>
      </c>
      <c r="T21" s="16">
        <f>BlackScholesCall($O$1,T$1,$C21,$E21,'Volatility table'!R21/100)</f>
        <v>10.151454954490816</v>
      </c>
      <c r="U21" s="16">
        <f>BlackScholesCall($O$1,U$1,$C21,$E21,'Volatility table'!S21/100)</f>
        <v>8.377573285128463</v>
      </c>
      <c r="V21" s="16">
        <f>BlackScholesCall($O$1,V$1,$C21,$E21,'Volatility table'!T21/100)</f>
        <v>6.8464452669893276</v>
      </c>
      <c r="W21" s="16">
        <f>BlackScholesCall($O$1,W$1,$C21,$E21,'Volatility table'!U21/100)</f>
        <v>4.4334032938933241</v>
      </c>
      <c r="X21" s="16">
        <f>BlackScholesCall($O$1,X$1,$C21,$E21,'Volatility table'!V21/100)</f>
        <v>2.7299247353723111</v>
      </c>
    </row>
    <row r="22" spans="1:24" x14ac:dyDescent="0.3">
      <c r="A22" s="3" t="s">
        <v>24</v>
      </c>
      <c r="B22" s="4">
        <f>'Volatility table'!B22</f>
        <v>45516</v>
      </c>
      <c r="C22" s="10">
        <f>YEARFRAC(RF!$E$1,$B22,3)</f>
        <v>1.7561643835616438</v>
      </c>
      <c r="D22" s="5">
        <f>'Volatility table'!C22</f>
        <v>104.61</v>
      </c>
      <c r="E22" s="11">
        <f t="shared" si="0"/>
        <v>4.8507962674235294E-2</v>
      </c>
      <c r="F22" s="16">
        <f>BlackScholesCall($O$1,F$1,$C22,$E22,'Volatility table'!D22/100)</f>
        <v>53.845751525067058</v>
      </c>
      <c r="G22" s="16">
        <f>BlackScholesCall($O$1,G$1,$C22,$E22,'Volatility table'!E22/100)</f>
        <v>46.149768073603454</v>
      </c>
      <c r="H22" s="16">
        <f>BlackScholesCall($O$1,H$1,$C22,$E22,'Volatility table'!F22/100)</f>
        <v>38.859837997389114</v>
      </c>
      <c r="I22" s="16">
        <f>BlackScholesCall($O$1,I$1,$C22,$E22,'Volatility table'!G22/100)</f>
        <v>35.383228925818614</v>
      </c>
      <c r="J22" s="16">
        <f>BlackScholesCall($O$1,J$1,$C22,$E22,'Volatility table'!H22/100)</f>
        <v>32.023229060902629</v>
      </c>
      <c r="K22" s="16">
        <f>BlackScholesCall($O$1,K$1,$C22,$E22,'Volatility table'!I22/100)</f>
        <v>28.800929056553613</v>
      </c>
      <c r="L22" s="16">
        <f>BlackScholesCall($O$1,L$1,$C22,$E22,'Volatility table'!J22/100)</f>
        <v>25.717693540745785</v>
      </c>
      <c r="M22" s="16">
        <f>BlackScholesCall($O$1,M$1,$C22,$E22,'Volatility table'!K22/100)</f>
        <v>22.777554955673352</v>
      </c>
      <c r="N22" s="16">
        <f>BlackScholesCall($O$1,N$1,$C22,$E22,'Volatility table'!L22/100)</f>
        <v>21.370815572586032</v>
      </c>
      <c r="O22" s="16">
        <f>BlackScholesCall($O$1,O$1,$C22,$E22,'Volatility table'!M22/100)</f>
        <v>20.000413880170285</v>
      </c>
      <c r="P22" s="16">
        <f>BlackScholesCall($O$1,P$1,$C22,$E22,'Volatility table'!N22/100)</f>
        <v>18.67157552969752</v>
      </c>
      <c r="Q22" s="16">
        <f>BlackScholesCall($O$1,Q$1,$C22,$E22,'Volatility table'!O22/100)</f>
        <v>17.390138290067092</v>
      </c>
      <c r="R22" s="16">
        <f>BlackScholesCall($O$1,R$1,$C22,$E22,'Volatility table'!P22/100)</f>
        <v>14.954594452905461</v>
      </c>
      <c r="S22" s="16">
        <f>BlackScholesCall($O$1,S$1,$C22,$E22,'Volatility table'!Q22/100)</f>
        <v>12.715260968218551</v>
      </c>
      <c r="T22" s="16">
        <f>BlackScholesCall($O$1,T$1,$C22,$E22,'Volatility table'!R22/100)</f>
        <v>10.682164141753198</v>
      </c>
      <c r="U22" s="16">
        <f>BlackScholesCall($O$1,U$1,$C22,$E22,'Volatility table'!S22/100)</f>
        <v>8.8679979432229032</v>
      </c>
      <c r="V22" s="16">
        <f>BlackScholesCall($O$1,V$1,$C22,$E22,'Volatility table'!T22/100)</f>
        <v>7.2824574057896356</v>
      </c>
      <c r="W22" s="16">
        <f>BlackScholesCall($O$1,W$1,$C22,$E22,'Volatility table'!U22/100)</f>
        <v>4.7369113804689746</v>
      </c>
      <c r="X22" s="16">
        <f>BlackScholesCall($O$1,X$1,$C22,$E22,'Volatility table'!V22/100)</f>
        <v>2.9033910418286588</v>
      </c>
    </row>
    <row r="23" spans="1:24" x14ac:dyDescent="0.3">
      <c r="A23" s="3" t="s">
        <v>25</v>
      </c>
      <c r="B23" s="4">
        <f>'Volatility table'!B23</f>
        <v>45545</v>
      </c>
      <c r="C23" s="10">
        <f>YEARFRAC(RF!$E$1,$B23,3)</f>
        <v>1.8356164383561644</v>
      </c>
      <c r="D23" s="5">
        <f>'Volatility table'!C23</f>
        <v>104.943</v>
      </c>
      <c r="E23" s="11">
        <f t="shared" si="0"/>
        <v>4.8173690332331986E-2</v>
      </c>
      <c r="F23" s="16">
        <f>BlackScholesCall($O$1,F$1,$C23,$E23,'Volatility table'!D23/100)</f>
        <v>54.080746781837568</v>
      </c>
      <c r="G23" s="16">
        <f>BlackScholesCall($O$1,G$1,$C23,$E23,'Volatility table'!E23/100)</f>
        <v>46.446010261390292</v>
      </c>
      <c r="H23" s="16">
        <f>BlackScholesCall($O$1,H$1,$C23,$E23,'Volatility table'!F23/100)</f>
        <v>39.215458689515572</v>
      </c>
      <c r="I23" s="16">
        <f>BlackScholesCall($O$1,I$1,$C23,$E23,'Volatility table'!G23/100)</f>
        <v>35.766996462969104</v>
      </c>
      <c r="J23" s="16">
        <f>BlackScholesCall($O$1,J$1,$C23,$E23,'Volatility table'!H23/100)</f>
        <v>32.433502748662875</v>
      </c>
      <c r="K23" s="16">
        <f>BlackScholesCall($O$1,K$1,$C23,$E23,'Volatility table'!I23/100)</f>
        <v>29.234244954444939</v>
      </c>
      <c r="L23" s="16">
        <f>BlackScholesCall($O$1,L$1,$C23,$E23,'Volatility table'!J23/100)</f>
        <v>26.17144870691908</v>
      </c>
      <c r="M23" s="16">
        <f>BlackScholesCall($O$1,M$1,$C23,$E23,'Volatility table'!K23/100)</f>
        <v>23.248231907399493</v>
      </c>
      <c r="N23" s="16">
        <f>BlackScholesCall($O$1,N$1,$C23,$E23,'Volatility table'!L23/100)</f>
        <v>21.848167821487209</v>
      </c>
      <c r="O23" s="16">
        <f>BlackScholesCall($O$1,O$1,$C23,$E23,'Volatility table'!M23/100)</f>
        <v>20.482401522822876</v>
      </c>
      <c r="P23" s="16">
        <f>BlackScholesCall($O$1,P$1,$C23,$E23,'Volatility table'!N23/100)</f>
        <v>19.157434258004983</v>
      </c>
      <c r="Q23" s="16">
        <f>BlackScholesCall($O$1,Q$1,$C23,$E23,'Volatility table'!O23/100)</f>
        <v>17.878572815507319</v>
      </c>
      <c r="R23" s="16">
        <f>BlackScholesCall($O$1,R$1,$C23,$E23,'Volatility table'!P23/100)</f>
        <v>15.442101934085308</v>
      </c>
      <c r="S23" s="16">
        <f>BlackScholesCall($O$1,S$1,$C23,$E23,'Volatility table'!Q23/100)</f>
        <v>13.193000986664543</v>
      </c>
      <c r="T23" s="16">
        <f>BlackScholesCall($O$1,T$1,$C23,$E23,'Volatility table'!R23/100)</f>
        <v>11.139713127788227</v>
      </c>
      <c r="U23" s="16">
        <f>BlackScholesCall($O$1,U$1,$C23,$E23,'Volatility table'!S23/100)</f>
        <v>9.2925067866255731</v>
      </c>
      <c r="V23" s="16">
        <f>BlackScholesCall($O$1,V$1,$C23,$E23,'Volatility table'!T23/100)</f>
        <v>7.6616996717588144</v>
      </c>
      <c r="W23" s="16">
        <f>BlackScholesCall($O$1,W$1,$C23,$E23,'Volatility table'!U23/100)</f>
        <v>5.0041826469117083</v>
      </c>
      <c r="X23" s="16">
        <f>BlackScholesCall($O$1,X$1,$C23,$E23,'Volatility table'!V23/100)</f>
        <v>3.0577617537467106</v>
      </c>
    </row>
    <row r="24" spans="1:24" x14ac:dyDescent="0.3">
      <c r="A24" s="3" t="s">
        <v>26</v>
      </c>
      <c r="B24" s="4">
        <f>'Volatility table'!B24</f>
        <v>45575</v>
      </c>
      <c r="C24" s="10">
        <f>YEARFRAC(RF!$E$1,$B24,3)</f>
        <v>1.9178082191780821</v>
      </c>
      <c r="D24" s="5">
        <f>'Volatility table'!C24</f>
        <v>105.282</v>
      </c>
      <c r="E24" s="11">
        <f t="shared" si="0"/>
        <v>4.7822894053787923E-2</v>
      </c>
      <c r="F24" s="16">
        <f>BlackScholesCall($O$1,F$1,$C24,$E24,'Volatility table'!D24/100)</f>
        <v>54.320227488341715</v>
      </c>
      <c r="G24" s="16">
        <f>BlackScholesCall($O$1,G$1,$C24,$E24,'Volatility table'!E24/100)</f>
        <v>46.747058409880772</v>
      </c>
      <c r="H24" s="16">
        <f>BlackScholesCall($O$1,H$1,$C24,$E24,'Volatility table'!F24/100)</f>
        <v>39.576158803307713</v>
      </c>
      <c r="I24" s="16">
        <f>BlackScholesCall($O$1,I$1,$C24,$E24,'Volatility table'!G24/100)</f>
        <v>36.155463426613338</v>
      </c>
      <c r="J24" s="16">
        <f>BlackScholesCall($O$1,J$1,$C24,$E24,'Volatility table'!H24/100)</f>
        <v>32.847999713557172</v>
      </c>
      <c r="K24" s="16">
        <f>BlackScholesCall($O$1,K$1,$C24,$E24,'Volatility table'!I24/100)</f>
        <v>29.672388676972744</v>
      </c>
      <c r="L24" s="16">
        <f>BlackScholesCall($O$1,L$1,$C24,$E24,'Volatility table'!J24/100)</f>
        <v>26.62995662256661</v>
      </c>
      <c r="M24" s="16">
        <f>BlackScholesCall($O$1,M$1,$C24,$E24,'Volatility table'!K24/100)</f>
        <v>23.722737030893846</v>
      </c>
      <c r="N24" s="16">
        <f>BlackScholesCall($O$1,N$1,$C24,$E24,'Volatility table'!L24/100)</f>
        <v>22.329585239778552</v>
      </c>
      <c r="O24" s="16">
        <f>BlackScholesCall($O$1,O$1,$C24,$E24,'Volatility table'!M24/100)</f>
        <v>20.96918785427016</v>
      </c>
      <c r="P24" s="16">
        <f>BlackScholesCall($O$1,P$1,$C24,$E24,'Volatility table'!N24/100)</f>
        <v>19.647922168376923</v>
      </c>
      <c r="Q24" s="16">
        <f>BlackScholesCall($O$1,Q$1,$C24,$E24,'Volatility table'!O24/100)</f>
        <v>18.371498058100357</v>
      </c>
      <c r="R24" s="16">
        <f>BlackScholesCall($O$1,R$1,$C24,$E24,'Volatility table'!P24/100)</f>
        <v>15.934388601093808</v>
      </c>
      <c r="S24" s="16">
        <f>BlackScholesCall($O$1,S$1,$C24,$E24,'Volatility table'!Q24/100)</f>
        <v>13.675885831555888</v>
      </c>
      <c r="T24" s="16">
        <f>BlackScholesCall($O$1,T$1,$C24,$E24,'Volatility table'!R24/100)</f>
        <v>11.603284867394891</v>
      </c>
      <c r="U24" s="16">
        <f>BlackScholesCall($O$1,U$1,$C24,$E24,'Volatility table'!S24/100)</f>
        <v>9.7241709207146627</v>
      </c>
      <c r="V24" s="16">
        <f>BlackScholesCall($O$1,V$1,$C24,$E24,'Volatility table'!T24/100)</f>
        <v>8.0491938794545064</v>
      </c>
      <c r="W24" s="16">
        <f>BlackScholesCall($O$1,W$1,$C24,$E24,'Volatility table'!U24/100)</f>
        <v>5.2806237874935817</v>
      </c>
      <c r="X24" s="16">
        <f>BlackScholesCall($O$1,X$1,$C24,$E24,'Volatility table'!V24/100)</f>
        <v>3.218984787039183</v>
      </c>
    </row>
    <row r="25" spans="1:24" x14ac:dyDescent="0.3">
      <c r="A25" s="3" t="s">
        <v>27</v>
      </c>
      <c r="B25" s="4">
        <f>'Volatility table'!B25</f>
        <v>45608</v>
      </c>
      <c r="C25" s="10">
        <f>YEARFRAC(RF!$E$1,$B25,3)</f>
        <v>2.0082191780821916</v>
      </c>
      <c r="D25" s="5">
        <f>'Volatility table'!C25</f>
        <v>105.651</v>
      </c>
      <c r="E25" s="11">
        <f t="shared" si="0"/>
        <v>4.7444803752983766E-2</v>
      </c>
      <c r="F25" s="16">
        <f>BlackScholesCall($O$1,F$1,$C25,$E25,'Volatility table'!D25/100)</f>
        <v>54.58061921192779</v>
      </c>
      <c r="G25" s="16">
        <f>BlackScholesCall($O$1,G$1,$C25,$E25,'Volatility table'!E25/100)</f>
        <v>47.073179003749246</v>
      </c>
      <c r="H25" s="16">
        <f>BlackScholesCall($O$1,H$1,$C25,$E25,'Volatility table'!F25/100)</f>
        <v>39.965534084220607</v>
      </c>
      <c r="I25" s="16">
        <f>BlackScholesCall($O$1,I$1,$C25,$E25,'Volatility table'!G25/100)</f>
        <v>36.574154627640446</v>
      </c>
      <c r="J25" s="16">
        <f>BlackScholesCall($O$1,J$1,$C25,$E25,'Volatility table'!H25/100)</f>
        <v>33.294109923208921</v>
      </c>
      <c r="K25" s="16">
        <f>BlackScholesCall($O$1,K$1,$C25,$E25,'Volatility table'!I25/100)</f>
        <v>30.143364735331076</v>
      </c>
      <c r="L25" s="16">
        <f>BlackScholesCall($O$1,L$1,$C25,$E25,'Volatility table'!J25/100)</f>
        <v>27.122334674047622</v>
      </c>
      <c r="M25" s="16">
        <f>BlackScholesCall($O$1,M$1,$C25,$E25,'Volatility table'!K25/100)</f>
        <v>24.232895213352158</v>
      </c>
      <c r="N25" s="16">
        <f>BlackScholesCall($O$1,N$1,$C25,$E25,'Volatility table'!L25/100)</f>
        <v>22.846099379773769</v>
      </c>
      <c r="O25" s="16">
        <f>BlackScholesCall($O$1,O$1,$C25,$E25,'Volatility table'!M25/100)</f>
        <v>21.491399306580227</v>
      </c>
      <c r="P25" s="16">
        <f>BlackScholesCall($O$1,P$1,$C25,$E25,'Volatility table'!N25/100)</f>
        <v>20.174615217789459</v>
      </c>
      <c r="Q25" s="16">
        <f>BlackScholesCall($O$1,Q$1,$C25,$E25,'Volatility table'!O25/100)</f>
        <v>18.900876788636872</v>
      </c>
      <c r="R25" s="16">
        <f>BlackScholesCall($O$1,R$1,$C25,$E25,'Volatility table'!P25/100)</f>
        <v>16.463462998430941</v>
      </c>
      <c r="S25" s="16">
        <f>BlackScholesCall($O$1,S$1,$C25,$E25,'Volatility table'!Q25/100)</f>
        <v>14.19615872587768</v>
      </c>
      <c r="T25" s="16">
        <f>BlackScholesCall($O$1,T$1,$C25,$E25,'Volatility table'!R25/100)</f>
        <v>12.10340417247842</v>
      </c>
      <c r="U25" s="16">
        <f>BlackScholesCall($O$1,U$1,$C25,$E25,'Volatility table'!S25/100)</f>
        <v>10.191491436144162</v>
      </c>
      <c r="V25" s="16">
        <f>BlackScholesCall($O$1,V$1,$C25,$E25,'Volatility table'!T25/100)</f>
        <v>8.4706595739360395</v>
      </c>
      <c r="W25" s="16">
        <f>BlackScholesCall($O$1,W$1,$C25,$E25,'Volatility table'!U25/100)</f>
        <v>5.5841415537626844</v>
      </c>
      <c r="X25" s="16">
        <f>BlackScholesCall($O$1,X$1,$C25,$E25,'Volatility table'!V25/100)</f>
        <v>3.3976216650071045</v>
      </c>
    </row>
    <row r="27" spans="1:24" x14ac:dyDescent="0.3">
      <c r="E27" s="12"/>
      <c r="F27" s="13"/>
    </row>
    <row r="28" spans="1:24" x14ac:dyDescent="0.3">
      <c r="D28" s="14"/>
      <c r="E28" s="14"/>
      <c r="F28" s="14"/>
    </row>
  </sheetData>
  <phoneticPr fontId="3" type="noConversion"/>
  <pageMargins left="0.5" right="0.5" top="1" bottom="1" header="0.5" footer="0.75"/>
  <pageSetup fitToHeight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Volatility table</vt:lpstr>
      <vt:lpstr>RF</vt:lpstr>
      <vt:lpstr>Volatility Surface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Zhou</dc:creator>
  <cp:lastModifiedBy>ZHOU, Yaran</cp:lastModifiedBy>
  <dcterms:created xsi:type="dcterms:W3CDTF">2023-11-24T16:02:35Z</dcterms:created>
  <dcterms:modified xsi:type="dcterms:W3CDTF">2023-11-24T16:12:21Z</dcterms:modified>
</cp:coreProperties>
</file>