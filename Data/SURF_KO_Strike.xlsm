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cuhk-my.sharepoint.com/personal/1155141671_link_cuhk_edu_hk/Documents/My Documents/Courses/Current/RMSC4007/project/Data/"/>
    </mc:Choice>
  </mc:AlternateContent>
  <xr:revisionPtr revIDLastSave="1" documentId="8_{6BFF1113-8367-48F5-9FEE-6AAEF8E89DA2}" xr6:coauthVersionLast="47" xr6:coauthVersionMax="47" xr10:uidLastSave="{E422C464-070C-4987-954B-E13680422FEA}"/>
  <bookViews>
    <workbookView xWindow="-108" yWindow="-108" windowWidth="23256" windowHeight="12456" activeTab="2" xr2:uid="{00000000-000D-0000-FFFF-FFFF00000000}"/>
  </bookViews>
  <sheets>
    <sheet name="Volatility table" sheetId="2" r:id="rId1"/>
    <sheet name="RF" sheetId="3" r:id="rId2"/>
    <sheet name="Volatility Surface" sheetId="4" r:id="rId3"/>
    <sheet name="Volatility Surface_with Div" sheetId="5" r:id="rId4"/>
  </sheets>
  <functionGroups builtInGroupCount="19"/>
  <calcPr calcId="191029"/>
</workbook>
</file>

<file path=xl/calcChain.xml><?xml version="1.0" encoding="utf-8"?>
<calcChain xmlns="http://schemas.openxmlformats.org/spreadsheetml/2006/main">
  <c r="E2" i="5" l="1"/>
  <c r="C25" i="5"/>
  <c r="E25" i="5" s="1"/>
  <c r="C24" i="5"/>
  <c r="E24" i="5" s="1"/>
  <c r="C23" i="5"/>
  <c r="E23" i="5" s="1"/>
  <c r="C22" i="5"/>
  <c r="E22" i="5" s="1"/>
  <c r="C21" i="5"/>
  <c r="E21" i="5" s="1"/>
  <c r="C20" i="5"/>
  <c r="E20" i="5" s="1"/>
  <c r="C19" i="5"/>
  <c r="E19" i="5" s="1"/>
  <c r="C18" i="5"/>
  <c r="E18" i="5" s="1"/>
  <c r="C17" i="5"/>
  <c r="E17" i="5" s="1"/>
  <c r="C16" i="5"/>
  <c r="E16" i="5" s="1"/>
  <c r="C15" i="5"/>
  <c r="E15" i="5" s="1"/>
  <c r="C14" i="5"/>
  <c r="E14" i="5" s="1"/>
  <c r="C13" i="5"/>
  <c r="E13" i="5" s="1"/>
  <c r="C12" i="5"/>
  <c r="E12" i="5" s="1"/>
  <c r="C11" i="5"/>
  <c r="E11" i="5" s="1"/>
  <c r="C10" i="5"/>
  <c r="E10" i="5" s="1"/>
  <c r="C9" i="5"/>
  <c r="E9" i="5" s="1"/>
  <c r="C8" i="5"/>
  <c r="E8" i="5" s="1"/>
  <c r="C7" i="5"/>
  <c r="E7" i="5" s="1"/>
  <c r="C6" i="5"/>
  <c r="E6" i="5" s="1"/>
  <c r="C5" i="5"/>
  <c r="E5" i="5" s="1"/>
  <c r="C4" i="5"/>
  <c r="E4" i="5" s="1"/>
  <c r="C3" i="5"/>
  <c r="E3" i="5" s="1"/>
  <c r="C2" i="5"/>
  <c r="C13" i="4"/>
  <c r="E13" i="4" s="1"/>
  <c r="C2" i="4"/>
  <c r="E2" i="4" s="1"/>
  <c r="E3" i="4"/>
  <c r="E4" i="4"/>
  <c r="E5" i="4"/>
  <c r="E6" i="4"/>
  <c r="E7" i="4"/>
  <c r="E8" i="4"/>
  <c r="E9" i="4"/>
  <c r="E10" i="4"/>
  <c r="E11" i="4"/>
  <c r="E12" i="4"/>
  <c r="E14" i="4"/>
  <c r="E15" i="4"/>
  <c r="E16" i="4"/>
  <c r="E17" i="4"/>
  <c r="E18" i="4"/>
  <c r="E19" i="4"/>
  <c r="E20" i="4"/>
  <c r="E21" i="4"/>
  <c r="E22" i="4"/>
  <c r="E23" i="4"/>
  <c r="E24" i="4"/>
  <c r="E25" i="4"/>
  <c r="C3" i="4"/>
  <c r="C4" i="4"/>
  <c r="C5" i="4"/>
  <c r="C6" i="4"/>
  <c r="C7" i="4"/>
  <c r="C8" i="4"/>
  <c r="C9" i="4"/>
  <c r="C10" i="4"/>
  <c r="C11" i="4"/>
  <c r="C12" i="4"/>
  <c r="C14" i="4"/>
  <c r="C15" i="4"/>
  <c r="C16" i="4"/>
  <c r="C17" i="4"/>
  <c r="C18" i="4"/>
  <c r="C19" i="4"/>
  <c r="C20" i="4"/>
  <c r="C21" i="4"/>
  <c r="C22" i="4"/>
  <c r="C23" i="4"/>
  <c r="C24" i="4"/>
  <c r="C25" i="4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" i="3"/>
  <c r="E1" i="3"/>
  <c r="F3" i="5"/>
  <c r="R3" i="5"/>
  <c r="K4" i="5"/>
  <c r="W4" i="5"/>
  <c r="P5" i="5"/>
  <c r="I6" i="5"/>
  <c r="U6" i="5"/>
  <c r="N7" i="5"/>
  <c r="G8" i="5"/>
  <c r="S8" i="5"/>
  <c r="L9" i="5"/>
  <c r="X9" i="5"/>
  <c r="Q10" i="5"/>
  <c r="J11" i="5"/>
  <c r="V11" i="5"/>
  <c r="O12" i="5"/>
  <c r="H13" i="5"/>
  <c r="T13" i="5"/>
  <c r="M14" i="5"/>
  <c r="F15" i="5"/>
  <c r="K16" i="5"/>
  <c r="W16" i="5"/>
  <c r="P17" i="5"/>
  <c r="U18" i="5"/>
  <c r="G20" i="5"/>
  <c r="L21" i="5"/>
  <c r="Q22" i="5"/>
  <c r="V23" i="5"/>
  <c r="H25" i="5"/>
  <c r="V20" i="5"/>
  <c r="G3" i="5"/>
  <c r="S3" i="5"/>
  <c r="L4" i="5"/>
  <c r="X4" i="5"/>
  <c r="Q5" i="5"/>
  <c r="J6" i="5"/>
  <c r="V6" i="5"/>
  <c r="O7" i="5"/>
  <c r="H8" i="5"/>
  <c r="T8" i="5"/>
  <c r="M9" i="5"/>
  <c r="F10" i="5"/>
  <c r="R10" i="5"/>
  <c r="K11" i="5"/>
  <c r="W11" i="5"/>
  <c r="P12" i="5"/>
  <c r="I13" i="5"/>
  <c r="U13" i="5"/>
  <c r="N14" i="5"/>
  <c r="G15" i="5"/>
  <c r="S15" i="5"/>
  <c r="L16" i="5"/>
  <c r="X16" i="5"/>
  <c r="Q17" i="5"/>
  <c r="J18" i="5"/>
  <c r="V18" i="5"/>
  <c r="O19" i="5"/>
  <c r="H20" i="5"/>
  <c r="T20" i="5"/>
  <c r="M21" i="5"/>
  <c r="F22" i="5"/>
  <c r="R22" i="5"/>
  <c r="K23" i="5"/>
  <c r="W23" i="5"/>
  <c r="P24" i="5"/>
  <c r="I25" i="5"/>
  <c r="U25" i="5"/>
  <c r="T3" i="5"/>
  <c r="K6" i="5"/>
  <c r="P7" i="5"/>
  <c r="U8" i="5"/>
  <c r="G10" i="5"/>
  <c r="S10" i="5"/>
  <c r="X11" i="5"/>
  <c r="J13" i="5"/>
  <c r="O14" i="5"/>
  <c r="H15" i="5"/>
  <c r="M16" i="5"/>
  <c r="R17" i="5"/>
  <c r="W18" i="5"/>
  <c r="I20" i="5"/>
  <c r="U20" i="5"/>
  <c r="G22" i="5"/>
  <c r="L23" i="5"/>
  <c r="Q24" i="5"/>
  <c r="V25" i="5"/>
  <c r="U15" i="5"/>
  <c r="L18" i="5"/>
  <c r="J20" i="5"/>
  <c r="H22" i="5"/>
  <c r="R24" i="5"/>
  <c r="H3" i="5"/>
  <c r="M4" i="5"/>
  <c r="F5" i="5"/>
  <c r="R5" i="5"/>
  <c r="W6" i="5"/>
  <c r="I8" i="5"/>
  <c r="N9" i="5"/>
  <c r="L11" i="5"/>
  <c r="Q12" i="5"/>
  <c r="V13" i="5"/>
  <c r="T15" i="5"/>
  <c r="F17" i="5"/>
  <c r="K18" i="5"/>
  <c r="P19" i="5"/>
  <c r="N21" i="5"/>
  <c r="S22" i="5"/>
  <c r="X23" i="5"/>
  <c r="J25" i="5"/>
  <c r="N16" i="5"/>
  <c r="Q19" i="5"/>
  <c r="T22" i="5"/>
  <c r="W25" i="5"/>
  <c r="I3" i="5"/>
  <c r="U3" i="5"/>
  <c r="N4" i="5"/>
  <c r="G5" i="5"/>
  <c r="S5" i="5"/>
  <c r="L6" i="5"/>
  <c r="X6" i="5"/>
  <c r="Q7" i="5"/>
  <c r="J8" i="5"/>
  <c r="V8" i="5"/>
  <c r="O9" i="5"/>
  <c r="H10" i="5"/>
  <c r="T10" i="5"/>
  <c r="M11" i="5"/>
  <c r="F12" i="5"/>
  <c r="R12" i="5"/>
  <c r="K13" i="5"/>
  <c r="W13" i="5"/>
  <c r="P14" i="5"/>
  <c r="I15" i="5"/>
  <c r="G17" i="5"/>
  <c r="S17" i="5"/>
  <c r="X18" i="5"/>
  <c r="O21" i="5"/>
  <c r="J3" i="5"/>
  <c r="V3" i="5"/>
  <c r="O4" i="5"/>
  <c r="H5" i="5"/>
  <c r="T5" i="5"/>
  <c r="M6" i="5"/>
  <c r="F7" i="5"/>
  <c r="R7" i="5"/>
  <c r="K8" i="5"/>
  <c r="W8" i="5"/>
  <c r="P9" i="5"/>
  <c r="I10" i="5"/>
  <c r="U10" i="5"/>
  <c r="N11" i="5"/>
  <c r="G12" i="5"/>
  <c r="S12" i="5"/>
  <c r="L13" i="5"/>
  <c r="X13" i="5"/>
  <c r="Q14" i="5"/>
  <c r="J15" i="5"/>
  <c r="V15" i="5"/>
  <c r="O16" i="5"/>
  <c r="H17" i="5"/>
  <c r="T17" i="5"/>
  <c r="M18" i="5"/>
  <c r="F19" i="5"/>
  <c r="R19" i="5"/>
  <c r="K20" i="5"/>
  <c r="W20" i="5"/>
  <c r="P21" i="5"/>
  <c r="I22" i="5"/>
  <c r="U22" i="5"/>
  <c r="N23" i="5"/>
  <c r="G24" i="5"/>
  <c r="S24" i="5"/>
  <c r="L25" i="5"/>
  <c r="X25" i="5"/>
  <c r="R14" i="5"/>
  <c r="I17" i="5"/>
  <c r="N18" i="5"/>
  <c r="S19" i="5"/>
  <c r="K3" i="5"/>
  <c r="W3" i="5"/>
  <c r="P4" i="5"/>
  <c r="I5" i="5"/>
  <c r="U5" i="5"/>
  <c r="N6" i="5"/>
  <c r="G7" i="5"/>
  <c r="S7" i="5"/>
  <c r="L8" i="5"/>
  <c r="X8" i="5"/>
  <c r="Q9" i="5"/>
  <c r="J10" i="5"/>
  <c r="V10" i="5"/>
  <c r="O11" i="5"/>
  <c r="H12" i="5"/>
  <c r="T12" i="5"/>
  <c r="M13" i="5"/>
  <c r="F14" i="5"/>
  <c r="K15" i="5"/>
  <c r="W15" i="5"/>
  <c r="P16" i="5"/>
  <c r="U17" i="5"/>
  <c r="G19" i="5"/>
  <c r="L20" i="5"/>
  <c r="X20" i="5"/>
  <c r="Q21" i="5"/>
  <c r="J22" i="5"/>
  <c r="V22" i="5"/>
  <c r="O23" i="5"/>
  <c r="H24" i="5"/>
  <c r="T24" i="5"/>
  <c r="M25" i="5"/>
  <c r="L3" i="5"/>
  <c r="X3" i="5"/>
  <c r="Q4" i="5"/>
  <c r="J5" i="5"/>
  <c r="V5" i="5"/>
  <c r="O6" i="5"/>
  <c r="H7" i="5"/>
  <c r="T7" i="5"/>
  <c r="M8" i="5"/>
  <c r="F9" i="5"/>
  <c r="R9" i="5"/>
  <c r="K10" i="5"/>
  <c r="W10" i="5"/>
  <c r="P11" i="5"/>
  <c r="I12" i="5"/>
  <c r="U12" i="5"/>
  <c r="N13" i="5"/>
  <c r="G14" i="5"/>
  <c r="S14" i="5"/>
  <c r="L15" i="5"/>
  <c r="X15" i="5"/>
  <c r="Q16" i="5"/>
  <c r="J17" i="5"/>
  <c r="V17" i="5"/>
  <c r="O18" i="5"/>
  <c r="H19" i="5"/>
  <c r="T19" i="5"/>
  <c r="M20" i="5"/>
  <c r="F21" i="5"/>
  <c r="R21" i="5"/>
  <c r="K22" i="5"/>
  <c r="W22" i="5"/>
  <c r="P23" i="5"/>
  <c r="I24" i="5"/>
  <c r="U24" i="5"/>
  <c r="N25" i="5"/>
  <c r="G21" i="5"/>
  <c r="X22" i="5"/>
  <c r="J24" i="5"/>
  <c r="V24" i="5"/>
  <c r="K24" i="5"/>
  <c r="M17" i="5"/>
  <c r="P20" i="5"/>
  <c r="G23" i="5"/>
  <c r="Q25" i="5"/>
  <c r="U4" i="5"/>
  <c r="X7" i="5"/>
  <c r="O10" i="5"/>
  <c r="F13" i="5"/>
  <c r="W14" i="5"/>
  <c r="N17" i="5"/>
  <c r="X19" i="5"/>
  <c r="O22" i="5"/>
  <c r="F25" i="5"/>
  <c r="K25" i="5"/>
  <c r="M3" i="5"/>
  <c r="F4" i="5"/>
  <c r="R4" i="5"/>
  <c r="K5" i="5"/>
  <c r="W5" i="5"/>
  <c r="P6" i="5"/>
  <c r="I7" i="5"/>
  <c r="U7" i="5"/>
  <c r="N8" i="5"/>
  <c r="G9" i="5"/>
  <c r="S9" i="5"/>
  <c r="L10" i="5"/>
  <c r="X10" i="5"/>
  <c r="Q11" i="5"/>
  <c r="J12" i="5"/>
  <c r="V12" i="5"/>
  <c r="O13" i="5"/>
  <c r="H14" i="5"/>
  <c r="T14" i="5"/>
  <c r="M15" i="5"/>
  <c r="F16" i="5"/>
  <c r="R16" i="5"/>
  <c r="K17" i="5"/>
  <c r="W17" i="5"/>
  <c r="P18" i="5"/>
  <c r="I19" i="5"/>
  <c r="U19" i="5"/>
  <c r="N20" i="5"/>
  <c r="S21" i="5"/>
  <c r="L22" i="5"/>
  <c r="Q23" i="5"/>
  <c r="O25" i="5"/>
  <c r="P25" i="5"/>
  <c r="K19" i="5"/>
  <c r="U21" i="5"/>
  <c r="L24" i="5"/>
  <c r="I4" i="5"/>
  <c r="G6" i="5"/>
  <c r="L7" i="5"/>
  <c r="V9" i="5"/>
  <c r="T11" i="5"/>
  <c r="K14" i="5"/>
  <c r="U16" i="5"/>
  <c r="L19" i="5"/>
  <c r="V21" i="5"/>
  <c r="M24" i="5"/>
  <c r="M23" i="5"/>
  <c r="N3" i="5"/>
  <c r="G4" i="5"/>
  <c r="S4" i="5"/>
  <c r="L5" i="5"/>
  <c r="X5" i="5"/>
  <c r="Q6" i="5"/>
  <c r="J7" i="5"/>
  <c r="V7" i="5"/>
  <c r="O8" i="5"/>
  <c r="H9" i="5"/>
  <c r="T9" i="5"/>
  <c r="M10" i="5"/>
  <c r="F11" i="5"/>
  <c r="R11" i="5"/>
  <c r="K12" i="5"/>
  <c r="W12" i="5"/>
  <c r="P13" i="5"/>
  <c r="I14" i="5"/>
  <c r="U14" i="5"/>
  <c r="N15" i="5"/>
  <c r="G16" i="5"/>
  <c r="S16" i="5"/>
  <c r="L17" i="5"/>
  <c r="X17" i="5"/>
  <c r="Q18" i="5"/>
  <c r="J19" i="5"/>
  <c r="V19" i="5"/>
  <c r="O20" i="5"/>
  <c r="H21" i="5"/>
  <c r="T21" i="5"/>
  <c r="M22" i="5"/>
  <c r="F23" i="5"/>
  <c r="R23" i="5"/>
  <c r="W24" i="5"/>
  <c r="R18" i="5"/>
  <c r="N22" i="5"/>
  <c r="S23" i="5"/>
  <c r="P3" i="5"/>
  <c r="S6" i="5"/>
  <c r="Q8" i="5"/>
  <c r="H11" i="5"/>
  <c r="R13" i="5"/>
  <c r="I16" i="5"/>
  <c r="S18" i="5"/>
  <c r="J21" i="5"/>
  <c r="H23" i="5"/>
  <c r="R25" i="5"/>
  <c r="F24" i="5"/>
  <c r="O3" i="5"/>
  <c r="H4" i="5"/>
  <c r="T4" i="5"/>
  <c r="M5" i="5"/>
  <c r="F6" i="5"/>
  <c r="R6" i="5"/>
  <c r="K7" i="5"/>
  <c r="W7" i="5"/>
  <c r="P8" i="5"/>
  <c r="I9" i="5"/>
  <c r="U9" i="5"/>
  <c r="N10" i="5"/>
  <c r="G11" i="5"/>
  <c r="S11" i="5"/>
  <c r="L12" i="5"/>
  <c r="X12" i="5"/>
  <c r="Q13" i="5"/>
  <c r="J14" i="5"/>
  <c r="V14" i="5"/>
  <c r="O15" i="5"/>
  <c r="H16" i="5"/>
  <c r="T16" i="5"/>
  <c r="F18" i="5"/>
  <c r="W19" i="5"/>
  <c r="I21" i="5"/>
  <c r="X24" i="5"/>
  <c r="N5" i="5"/>
  <c r="J9" i="5"/>
  <c r="M12" i="5"/>
  <c r="P15" i="5"/>
  <c r="G18" i="5"/>
  <c r="Q20" i="5"/>
  <c r="T23" i="5"/>
  <c r="Q3" i="5"/>
  <c r="J4" i="5"/>
  <c r="V4" i="5"/>
  <c r="O5" i="5"/>
  <c r="H6" i="5"/>
  <c r="T6" i="5"/>
  <c r="M7" i="5"/>
  <c r="F8" i="5"/>
  <c r="R8" i="5"/>
  <c r="K9" i="5"/>
  <c r="W9" i="5"/>
  <c r="P10" i="5"/>
  <c r="I11" i="5"/>
  <c r="U11" i="5"/>
  <c r="N12" i="5"/>
  <c r="G13" i="5"/>
  <c r="S13" i="5"/>
  <c r="L14" i="5"/>
  <c r="X14" i="5"/>
  <c r="Q15" i="5"/>
  <c r="J16" i="5"/>
  <c r="V16" i="5"/>
  <c r="O17" i="5"/>
  <c r="H18" i="5"/>
  <c r="T18" i="5"/>
  <c r="M19" i="5"/>
  <c r="F20" i="5"/>
  <c r="R20" i="5"/>
  <c r="K21" i="5"/>
  <c r="W21" i="5"/>
  <c r="P22" i="5"/>
  <c r="I23" i="5"/>
  <c r="U23" i="5"/>
  <c r="N24" i="5"/>
  <c r="G25" i="5"/>
  <c r="S25" i="5"/>
  <c r="R15" i="5"/>
  <c r="I18" i="5"/>
  <c r="N19" i="5"/>
  <c r="S20" i="5"/>
  <c r="X21" i="5"/>
  <c r="J23" i="5"/>
  <c r="O24" i="5"/>
  <c r="T25" i="5"/>
  <c r="G2" i="5"/>
  <c r="V2" i="5"/>
  <c r="L2" i="5"/>
  <c r="X2" i="5"/>
  <c r="N2" i="5"/>
  <c r="P2" i="5"/>
  <c r="H2" i="5"/>
  <c r="U2" i="5"/>
  <c r="W2" i="5"/>
  <c r="M2" i="5"/>
  <c r="J2" i="5"/>
  <c r="O2" i="5"/>
  <c r="Q2" i="5"/>
  <c r="R2" i="5"/>
  <c r="S2" i="5"/>
  <c r="T2" i="5"/>
  <c r="I2" i="5"/>
  <c r="K2" i="5"/>
  <c r="F2" i="5"/>
  <c r="F3" i="4"/>
  <c r="R3" i="4"/>
  <c r="K4" i="4"/>
  <c r="W4" i="4"/>
  <c r="P5" i="4"/>
  <c r="I6" i="4"/>
  <c r="U6" i="4"/>
  <c r="N7" i="4"/>
  <c r="G8" i="4"/>
  <c r="S8" i="4"/>
  <c r="L9" i="4"/>
  <c r="X9" i="4"/>
  <c r="Q10" i="4"/>
  <c r="J11" i="4"/>
  <c r="V11" i="4"/>
  <c r="O12" i="4"/>
  <c r="H13" i="4"/>
  <c r="T13" i="4"/>
  <c r="M14" i="4"/>
  <c r="F15" i="4"/>
  <c r="R15" i="4"/>
  <c r="K16" i="4"/>
  <c r="W16" i="4"/>
  <c r="P17" i="4"/>
  <c r="I18" i="4"/>
  <c r="U18" i="4"/>
  <c r="N19" i="4"/>
  <c r="G20" i="4"/>
  <c r="S20" i="4"/>
  <c r="L21" i="4"/>
  <c r="X21" i="4"/>
  <c r="Q22" i="4"/>
  <c r="J23" i="4"/>
  <c r="V23" i="4"/>
  <c r="O24" i="4"/>
  <c r="H25" i="4"/>
  <c r="T25" i="4"/>
  <c r="L4" i="4"/>
  <c r="H8" i="4"/>
  <c r="M9" i="4"/>
  <c r="K11" i="4"/>
  <c r="P12" i="4"/>
  <c r="U13" i="4"/>
  <c r="S15" i="4"/>
  <c r="X16" i="4"/>
  <c r="J18" i="4"/>
  <c r="H20" i="4"/>
  <c r="M21" i="4"/>
  <c r="R22" i="4"/>
  <c r="K23" i="4"/>
  <c r="P24" i="4"/>
  <c r="U25" i="4"/>
  <c r="L25" i="4"/>
  <c r="S4" i="4"/>
  <c r="W12" i="4"/>
  <c r="Q18" i="4"/>
  <c r="K24" i="4"/>
  <c r="M12" i="4"/>
  <c r="L19" i="4"/>
  <c r="G3" i="4"/>
  <c r="S3" i="4"/>
  <c r="X4" i="4"/>
  <c r="Q5" i="4"/>
  <c r="J6" i="4"/>
  <c r="V6" i="4"/>
  <c r="O7" i="4"/>
  <c r="T8" i="4"/>
  <c r="F10" i="4"/>
  <c r="R10" i="4"/>
  <c r="W11" i="4"/>
  <c r="I13" i="4"/>
  <c r="N14" i="4"/>
  <c r="G15" i="4"/>
  <c r="L16" i="4"/>
  <c r="Q17" i="4"/>
  <c r="V18" i="4"/>
  <c r="O19" i="4"/>
  <c r="T20" i="4"/>
  <c r="F22" i="4"/>
  <c r="W23" i="4"/>
  <c r="I25" i="4"/>
  <c r="N23" i="4"/>
  <c r="L5" i="4"/>
  <c r="F11" i="4"/>
  <c r="G16" i="4"/>
  <c r="M22" i="4"/>
  <c r="Q8" i="4"/>
  <c r="N17" i="4"/>
  <c r="T23" i="4"/>
  <c r="H3" i="4"/>
  <c r="T3" i="4"/>
  <c r="M4" i="4"/>
  <c r="F5" i="4"/>
  <c r="R5" i="4"/>
  <c r="K6" i="4"/>
  <c r="W6" i="4"/>
  <c r="P7" i="4"/>
  <c r="I8" i="4"/>
  <c r="U8" i="4"/>
  <c r="N9" i="4"/>
  <c r="G10" i="4"/>
  <c r="S10" i="4"/>
  <c r="L11" i="4"/>
  <c r="X11" i="4"/>
  <c r="Q12" i="4"/>
  <c r="J13" i="4"/>
  <c r="V13" i="4"/>
  <c r="O14" i="4"/>
  <c r="H15" i="4"/>
  <c r="T15" i="4"/>
  <c r="M16" i="4"/>
  <c r="F17" i="4"/>
  <c r="R17" i="4"/>
  <c r="K18" i="4"/>
  <c r="W18" i="4"/>
  <c r="P19" i="4"/>
  <c r="I20" i="4"/>
  <c r="U20" i="4"/>
  <c r="N21" i="4"/>
  <c r="G22" i="4"/>
  <c r="S22" i="4"/>
  <c r="L23" i="4"/>
  <c r="X23" i="4"/>
  <c r="Q24" i="4"/>
  <c r="J25" i="4"/>
  <c r="V25" i="4"/>
  <c r="H22" i="4"/>
  <c r="H9" i="4"/>
  <c r="V19" i="4"/>
  <c r="F13" i="4"/>
  <c r="J21" i="4"/>
  <c r="I3" i="4"/>
  <c r="U3" i="4"/>
  <c r="N4" i="4"/>
  <c r="G5" i="4"/>
  <c r="S5" i="4"/>
  <c r="L6" i="4"/>
  <c r="X6" i="4"/>
  <c r="Q7" i="4"/>
  <c r="J8" i="4"/>
  <c r="V8" i="4"/>
  <c r="O9" i="4"/>
  <c r="H10" i="4"/>
  <c r="T10" i="4"/>
  <c r="M11" i="4"/>
  <c r="F12" i="4"/>
  <c r="R12" i="4"/>
  <c r="K13" i="4"/>
  <c r="W13" i="4"/>
  <c r="P14" i="4"/>
  <c r="I15" i="4"/>
  <c r="U15" i="4"/>
  <c r="N16" i="4"/>
  <c r="G17" i="4"/>
  <c r="S17" i="4"/>
  <c r="L18" i="4"/>
  <c r="X18" i="4"/>
  <c r="Q19" i="4"/>
  <c r="J20" i="4"/>
  <c r="V20" i="4"/>
  <c r="O21" i="4"/>
  <c r="T22" i="4"/>
  <c r="M23" i="4"/>
  <c r="F24" i="4"/>
  <c r="R24" i="4"/>
  <c r="K25" i="4"/>
  <c r="W25" i="4"/>
  <c r="J15" i="4"/>
  <c r="T17" i="4"/>
  <c r="R19" i="4"/>
  <c r="W20" i="4"/>
  <c r="I22" i="4"/>
  <c r="G24" i="4"/>
  <c r="X25" i="4"/>
  <c r="J7" i="4"/>
  <c r="U14" i="4"/>
  <c r="O20" i="4"/>
  <c r="H11" i="4"/>
  <c r="O22" i="4"/>
  <c r="J3" i="4"/>
  <c r="V3" i="4"/>
  <c r="O4" i="4"/>
  <c r="H5" i="4"/>
  <c r="T5" i="4"/>
  <c r="M6" i="4"/>
  <c r="F7" i="4"/>
  <c r="R7" i="4"/>
  <c r="K8" i="4"/>
  <c r="W8" i="4"/>
  <c r="P9" i="4"/>
  <c r="I10" i="4"/>
  <c r="U10" i="4"/>
  <c r="N11" i="4"/>
  <c r="G12" i="4"/>
  <c r="S12" i="4"/>
  <c r="L13" i="4"/>
  <c r="X13" i="4"/>
  <c r="Q14" i="4"/>
  <c r="V15" i="4"/>
  <c r="O16" i="4"/>
  <c r="H17" i="4"/>
  <c r="M18" i="4"/>
  <c r="F19" i="4"/>
  <c r="K20" i="4"/>
  <c r="P21" i="4"/>
  <c r="U22" i="4"/>
  <c r="S24" i="4"/>
  <c r="X5" i="4"/>
  <c r="R11" i="4"/>
  <c r="S16" i="4"/>
  <c r="F23" i="4"/>
  <c r="J9" i="4"/>
  <c r="U16" i="4"/>
  <c r="M24" i="4"/>
  <c r="K3" i="4"/>
  <c r="W3" i="4"/>
  <c r="P4" i="4"/>
  <c r="I5" i="4"/>
  <c r="U5" i="4"/>
  <c r="N6" i="4"/>
  <c r="G7" i="4"/>
  <c r="S7" i="4"/>
  <c r="L8" i="4"/>
  <c r="X8" i="4"/>
  <c r="Q9" i="4"/>
  <c r="J10" i="4"/>
  <c r="V10" i="4"/>
  <c r="O11" i="4"/>
  <c r="H12" i="4"/>
  <c r="T12" i="4"/>
  <c r="M13" i="4"/>
  <c r="F14" i="4"/>
  <c r="R14" i="4"/>
  <c r="K15" i="4"/>
  <c r="W15" i="4"/>
  <c r="P16" i="4"/>
  <c r="I17" i="4"/>
  <c r="U17" i="4"/>
  <c r="N18" i="4"/>
  <c r="G19" i="4"/>
  <c r="S19" i="4"/>
  <c r="L20" i="4"/>
  <c r="X20" i="4"/>
  <c r="Q21" i="4"/>
  <c r="J22" i="4"/>
  <c r="V22" i="4"/>
  <c r="O23" i="4"/>
  <c r="H24" i="4"/>
  <c r="T24" i="4"/>
  <c r="M25" i="4"/>
  <c r="Q6" i="4"/>
  <c r="I14" i="4"/>
  <c r="J19" i="4"/>
  <c r="R23" i="4"/>
  <c r="V9" i="4"/>
  <c r="X19" i="4"/>
  <c r="L3" i="4"/>
  <c r="X3" i="4"/>
  <c r="Q4" i="4"/>
  <c r="J5" i="4"/>
  <c r="V5" i="4"/>
  <c r="O6" i="4"/>
  <c r="H7" i="4"/>
  <c r="T7" i="4"/>
  <c r="M8" i="4"/>
  <c r="F9" i="4"/>
  <c r="R9" i="4"/>
  <c r="K10" i="4"/>
  <c r="W10" i="4"/>
  <c r="P11" i="4"/>
  <c r="I12" i="4"/>
  <c r="U12" i="4"/>
  <c r="N13" i="4"/>
  <c r="G14" i="4"/>
  <c r="S14" i="4"/>
  <c r="L15" i="4"/>
  <c r="X15" i="4"/>
  <c r="Q16" i="4"/>
  <c r="J17" i="4"/>
  <c r="V17" i="4"/>
  <c r="O18" i="4"/>
  <c r="H19" i="4"/>
  <c r="T19" i="4"/>
  <c r="M20" i="4"/>
  <c r="F21" i="4"/>
  <c r="R21" i="4"/>
  <c r="K22" i="4"/>
  <c r="W22" i="4"/>
  <c r="P23" i="4"/>
  <c r="I24" i="4"/>
  <c r="U24" i="4"/>
  <c r="N25" i="4"/>
  <c r="L22" i="4"/>
  <c r="J24" i="4"/>
  <c r="O25" i="4"/>
  <c r="G4" i="4"/>
  <c r="V7" i="4"/>
  <c r="T9" i="4"/>
  <c r="K12" i="4"/>
  <c r="N15" i="4"/>
  <c r="T21" i="4"/>
  <c r="O10" i="4"/>
  <c r="S18" i="4"/>
  <c r="F25" i="4"/>
  <c r="M3" i="4"/>
  <c r="F4" i="4"/>
  <c r="R4" i="4"/>
  <c r="K5" i="4"/>
  <c r="W5" i="4"/>
  <c r="P6" i="4"/>
  <c r="I7" i="4"/>
  <c r="U7" i="4"/>
  <c r="N8" i="4"/>
  <c r="G9" i="4"/>
  <c r="S9" i="4"/>
  <c r="L10" i="4"/>
  <c r="X10" i="4"/>
  <c r="Q11" i="4"/>
  <c r="J12" i="4"/>
  <c r="V12" i="4"/>
  <c r="O13" i="4"/>
  <c r="H14" i="4"/>
  <c r="T14" i="4"/>
  <c r="M15" i="4"/>
  <c r="F16" i="4"/>
  <c r="R16" i="4"/>
  <c r="K17" i="4"/>
  <c r="W17" i="4"/>
  <c r="P18" i="4"/>
  <c r="I19" i="4"/>
  <c r="U19" i="4"/>
  <c r="N20" i="4"/>
  <c r="G21" i="4"/>
  <c r="S21" i="4"/>
  <c r="X22" i="4"/>
  <c r="Q23" i="4"/>
  <c r="V24" i="4"/>
  <c r="N3" i="4"/>
  <c r="O8" i="4"/>
  <c r="M10" i="4"/>
  <c r="P13" i="4"/>
  <c r="L17" i="4"/>
  <c r="H21" i="4"/>
  <c r="P25" i="4"/>
  <c r="T11" i="4"/>
  <c r="Q20" i="4"/>
  <c r="O3" i="4"/>
  <c r="H4" i="4"/>
  <c r="T4" i="4"/>
  <c r="M5" i="4"/>
  <c r="F6" i="4"/>
  <c r="R6" i="4"/>
  <c r="K7" i="4"/>
  <c r="W7" i="4"/>
  <c r="P8" i="4"/>
  <c r="I9" i="4"/>
  <c r="U9" i="4"/>
  <c r="N10" i="4"/>
  <c r="G11" i="4"/>
  <c r="S11" i="4"/>
  <c r="L12" i="4"/>
  <c r="X12" i="4"/>
  <c r="Q13" i="4"/>
  <c r="J14" i="4"/>
  <c r="V14" i="4"/>
  <c r="O15" i="4"/>
  <c r="H16" i="4"/>
  <c r="T16" i="4"/>
  <c r="M17" i="4"/>
  <c r="F18" i="4"/>
  <c r="R18" i="4"/>
  <c r="K19" i="4"/>
  <c r="W19" i="4"/>
  <c r="P20" i="4"/>
  <c r="I21" i="4"/>
  <c r="U21" i="4"/>
  <c r="N22" i="4"/>
  <c r="G23" i="4"/>
  <c r="S23" i="4"/>
  <c r="L24" i="4"/>
  <c r="X24" i="4"/>
  <c r="Q25" i="4"/>
  <c r="P3" i="4"/>
  <c r="I4" i="4"/>
  <c r="U4" i="4"/>
  <c r="N5" i="4"/>
  <c r="G6" i="4"/>
  <c r="S6" i="4"/>
  <c r="L7" i="4"/>
  <c r="X7" i="4"/>
  <c r="R13" i="4"/>
  <c r="W14" i="4"/>
  <c r="P15" i="4"/>
  <c r="G18" i="4"/>
  <c r="H23" i="4"/>
  <c r="R25" i="4"/>
  <c r="Q3" i="4"/>
  <c r="J4" i="4"/>
  <c r="V4" i="4"/>
  <c r="O5" i="4"/>
  <c r="H6" i="4"/>
  <c r="T6" i="4"/>
  <c r="M7" i="4"/>
  <c r="F8" i="4"/>
  <c r="R8" i="4"/>
  <c r="K9" i="4"/>
  <c r="W9" i="4"/>
  <c r="P10" i="4"/>
  <c r="I11" i="4"/>
  <c r="U11" i="4"/>
  <c r="N12" i="4"/>
  <c r="G13" i="4"/>
  <c r="S13" i="4"/>
  <c r="L14" i="4"/>
  <c r="X14" i="4"/>
  <c r="Q15" i="4"/>
  <c r="J16" i="4"/>
  <c r="V16" i="4"/>
  <c r="O17" i="4"/>
  <c r="H18" i="4"/>
  <c r="T18" i="4"/>
  <c r="M19" i="4"/>
  <c r="F20" i="4"/>
  <c r="R20" i="4"/>
  <c r="K21" i="4"/>
  <c r="W21" i="4"/>
  <c r="P22" i="4"/>
  <c r="I23" i="4"/>
  <c r="U23" i="4"/>
  <c r="N24" i="4"/>
  <c r="G25" i="4"/>
  <c r="S25" i="4"/>
  <c r="X17" i="4"/>
  <c r="W24" i="4"/>
  <c r="K14" i="4"/>
  <c r="I16" i="4"/>
  <c r="V21" i="4"/>
  <c r="G2" i="4"/>
  <c r="J2" i="4"/>
  <c r="V2" i="4"/>
  <c r="Q2" i="4"/>
  <c r="T2" i="4"/>
  <c r="K2" i="4"/>
  <c r="W2" i="4"/>
  <c r="O2" i="4"/>
  <c r="S2" i="4"/>
  <c r="I2" i="4"/>
  <c r="L2" i="4"/>
  <c r="X2" i="4"/>
  <c r="P2" i="4"/>
  <c r="H2" i="4"/>
  <c r="M2" i="4"/>
  <c r="U2" i="4"/>
  <c r="N2" i="4"/>
  <c r="R2" i="4"/>
  <c r="F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Zhou</author>
  </authors>
  <commentList>
    <comment ref="C1" authorId="0" shapeId="0" xr:uid="{356FD2D4-277D-4051-B390-BE8B1DDED85F}">
      <text>
        <r>
          <rPr>
            <b/>
            <sz val="9"/>
            <color indexed="81"/>
            <rFont val="Tahoma"/>
            <family val="2"/>
          </rPr>
          <t>Carlos Zhou:</t>
        </r>
        <r>
          <rPr>
            <sz val="9"/>
            <color indexed="81"/>
            <rFont val="Tahoma"/>
            <family val="2"/>
          </rPr>
          <t xml:space="preserve">
Yearly compounding</t>
        </r>
      </text>
    </comment>
  </commentList>
</comments>
</file>

<file path=xl/sharedStrings.xml><?xml version="1.0" encoding="utf-8"?>
<sst xmlns="http://schemas.openxmlformats.org/spreadsheetml/2006/main" count="144" uniqueCount="51">
  <si>
    <t>Exp</t>
  </si>
  <si>
    <t>Date</t>
  </si>
  <si>
    <t>Forward</t>
  </si>
  <si>
    <t>30.44</t>
  </si>
  <si>
    <t>36.53</t>
  </si>
  <si>
    <t>42.62</t>
  </si>
  <si>
    <t>45.66</t>
  </si>
  <si>
    <t>48.70</t>
  </si>
  <si>
    <t>51.75</t>
  </si>
  <si>
    <t>54.79</t>
  </si>
  <si>
    <t>57.84</t>
  </si>
  <si>
    <t>59.36</t>
  </si>
  <si>
    <t>ATM</t>
  </si>
  <si>
    <t>62.40</t>
  </si>
  <si>
    <t>63.92</t>
  </si>
  <si>
    <t>66.97</t>
  </si>
  <si>
    <t>70.01</t>
  </si>
  <si>
    <t>73.06</t>
  </si>
  <si>
    <t>76.10</t>
  </si>
  <si>
    <t>79.14</t>
  </si>
  <si>
    <t>85.23</t>
  </si>
  <si>
    <t>91.32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</si>
  <si>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</si>
  <si>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</si>
  <si>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</si>
  <si>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</si>
  <si>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</si>
  <si>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</si>
  <si>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</si>
  <si>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</si>
  <si>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</si>
  <si>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</si>
  <si>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</si>
  <si>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</si>
  <si>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</si>
  <si>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</si>
  <si>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</si>
  <si>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</si>
  <si>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</si>
  <si>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</si>
  <si>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</si>
  <si>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</si>
  <si>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</si>
  <si>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</si>
  <si>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</si>
  <si>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24M</t>
  </si>
  <si>
    <t>Tenor</t>
    <phoneticPr fontId="3" type="noConversion"/>
  </si>
  <si>
    <t>Date</t>
    <phoneticPr fontId="3" type="noConversion"/>
  </si>
  <si>
    <t>Rate</t>
    <phoneticPr fontId="3" type="noConversion"/>
  </si>
  <si>
    <t>Annual Dividend Yield</t>
    <phoneticPr fontId="3" type="noConversion"/>
  </si>
  <si>
    <t>rf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</si>
</sst>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mm\ dd\,\ yyyy"/>
    <numFmt numFmtId="177" formatCode="#,##0.000"/>
    <numFmt numFmtId="178" formatCode="0.0000"/>
    <numFmt numFmtId="179" formatCode="0.000%"/>
    <numFmt numFmtId="180" formatCode="#,##0.0000"/>
  </numFmts>
  <fonts count="6" x14ac:knownFonts="1"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9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E4E8ED"/>
        <bgColor rgb="FFE4E8ED"/>
      </patternFill>
    </fill>
    <fill>
      <patternFill patternType="solid">
        <fgColor rgb="FFFFFF00"/>
        <bgColor rgb="FFE4E8ED"/>
      </patternFill>
    </fill>
  </fills>
  <borders count="2">
    <border>
      <left/>
      <right/>
      <top/>
      <bottom/>
      <diagonal/>
    </border>
    <border>
      <left/>
      <right style="thin">
        <color rgb="FFB5B8BB"/>
      </right>
      <top/>
      <bottom style="thin">
        <color rgb="FFB5B8BB"/>
      </bottom>
      <diagonal/>
    </border>
  </borders>
  <cellStyleXfs count="2">
    <xf numFmtId="0" fontId="0" fillId="0" borderId="0" applyNumberFormat="0" applyBorder="0" applyAlignment="0"/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177" fontId="0" fillId="0" borderId="1" xfId="0" applyNumberFormat="1" applyBorder="1" applyAlignment="1">
      <alignment horizontal="right" vertical="center"/>
    </xf>
    <xf numFmtId="15" fontId="0" fillId="0" borderId="0" xfId="0" applyNumberFormat="1"/>
    <xf numFmtId="14" fontId="0" fillId="0" borderId="0" xfId="0" applyNumberFormat="1"/>
    <xf numFmtId="178" fontId="0" fillId="0" borderId="0" xfId="0" applyNumberFormat="1"/>
    <xf numFmtId="9" fontId="0" fillId="0" borderId="0" xfId="1" applyFont="1" applyAlignment="1"/>
    <xf numFmtId="178" fontId="0" fillId="0" borderId="1" xfId="0" applyNumberFormat="1" applyBorder="1" applyAlignment="1">
      <alignment horizontal="left" vertical="center"/>
    </xf>
    <xf numFmtId="179" fontId="0" fillId="0" borderId="0" xfId="1" applyNumberFormat="1" applyFont="1" applyAlignment="1"/>
    <xf numFmtId="180" fontId="0" fillId="0" borderId="1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-0.499984740745262"/>
    <pageSetUpPr fitToPage="1"/>
  </sheetPr>
  <dimension ref="A1:V25"/>
  <sheetViews>
    <sheetView workbookViewId="0">
      <selection activeCell="H20" sqref="H20"/>
    </sheetView>
  </sheetViews>
  <sheetFormatPr defaultRowHeight="14.4" x14ac:dyDescent="0.3"/>
  <cols>
    <col min="1" max="1" width="5" customWidth="1"/>
    <col min="2" max="2" width="13.21875" customWidth="1"/>
    <col min="3" max="3" width="9.109375" customWidth="1"/>
    <col min="4" max="22" width="7.6640625" customWidth="1"/>
  </cols>
  <sheetData>
    <row r="1" spans="1:22" x14ac:dyDescent="0.3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</row>
    <row r="2" spans="1:22" x14ac:dyDescent="0.3">
      <c r="A2" s="3" t="s">
        <v>22</v>
      </c>
      <c r="B2" s="4">
        <v>44907</v>
      </c>
      <c r="C2" s="5">
        <v>61.109000000000002</v>
      </c>
      <c r="D2" s="5">
        <v>62.482999999999997</v>
      </c>
      <c r="E2" s="5">
        <v>54.347999999999999</v>
      </c>
      <c r="F2" s="5">
        <v>46.386000000000003</v>
      </c>
      <c r="G2" s="5">
        <v>42.35</v>
      </c>
      <c r="H2" s="5">
        <v>38.206000000000003</v>
      </c>
      <c r="I2" s="5">
        <v>33.878999999999998</v>
      </c>
      <c r="J2" s="5">
        <v>29.276</v>
      </c>
      <c r="K2" s="5">
        <v>24.282</v>
      </c>
      <c r="L2" s="5">
        <v>21.626000000000001</v>
      </c>
      <c r="M2" s="5">
        <v>18.95</v>
      </c>
      <c r="N2" s="5">
        <v>16.611000000000001</v>
      </c>
      <c r="O2" s="5">
        <v>15.714</v>
      </c>
      <c r="P2" s="5">
        <v>19.456</v>
      </c>
      <c r="Q2" s="5">
        <v>24.434999999999999</v>
      </c>
      <c r="R2" s="5">
        <v>28.751000000000001</v>
      </c>
      <c r="S2" s="5">
        <v>32.451999999999998</v>
      </c>
      <c r="T2" s="5">
        <v>35.686</v>
      </c>
      <c r="U2" s="5">
        <v>41.15</v>
      </c>
      <c r="V2" s="5">
        <v>45.674999999999997</v>
      </c>
    </row>
    <row r="3" spans="1:22" x14ac:dyDescent="0.3">
      <c r="A3" s="3" t="s">
        <v>23</v>
      </c>
      <c r="B3" s="4">
        <v>44936</v>
      </c>
      <c r="C3" s="5">
        <v>61.335000000000001</v>
      </c>
      <c r="D3" s="5">
        <v>57.426000000000002</v>
      </c>
      <c r="E3" s="5">
        <v>49.795999999999999</v>
      </c>
      <c r="F3" s="5">
        <v>42.334000000000003</v>
      </c>
      <c r="G3" s="5">
        <v>38.566000000000003</v>
      </c>
      <c r="H3" s="5">
        <v>34.719000000000001</v>
      </c>
      <c r="I3" s="5">
        <v>30.754000000000001</v>
      </c>
      <c r="J3" s="5">
        <v>26.655000000000001</v>
      </c>
      <c r="K3" s="5">
        <v>22.501000000000001</v>
      </c>
      <c r="L3" s="5">
        <v>20.507999999999999</v>
      </c>
      <c r="M3" s="5">
        <v>18.709</v>
      </c>
      <c r="N3" s="5">
        <v>17.283000000000001</v>
      </c>
      <c r="O3" s="5">
        <v>16.456</v>
      </c>
      <c r="P3" s="5">
        <v>16.75</v>
      </c>
      <c r="Q3" s="5">
        <v>18.295000000000002</v>
      </c>
      <c r="R3" s="5">
        <v>20.105</v>
      </c>
      <c r="S3" s="5">
        <v>21.885999999999999</v>
      </c>
      <c r="T3" s="5">
        <v>23.56</v>
      </c>
      <c r="U3" s="5">
        <v>26.556000000000001</v>
      </c>
      <c r="V3" s="5">
        <v>29.14</v>
      </c>
    </row>
    <row r="4" spans="1:22" x14ac:dyDescent="0.3">
      <c r="A4" s="3" t="s">
        <v>24</v>
      </c>
      <c r="B4" s="4">
        <v>44967</v>
      </c>
      <c r="C4" s="5">
        <v>61.591000000000001</v>
      </c>
      <c r="D4" s="5">
        <v>51.825000000000003</v>
      </c>
      <c r="E4" s="5">
        <v>45.289000000000001</v>
      </c>
      <c r="F4" s="5">
        <v>38.972999999999999</v>
      </c>
      <c r="G4" s="5">
        <v>35.825000000000003</v>
      </c>
      <c r="H4" s="5">
        <v>32.651000000000003</v>
      </c>
      <c r="I4" s="5">
        <v>29.434000000000001</v>
      </c>
      <c r="J4" s="5">
        <v>26.178000000000001</v>
      </c>
      <c r="K4" s="5">
        <v>22.95</v>
      </c>
      <c r="L4" s="5">
        <v>21.408999999999999</v>
      </c>
      <c r="M4" s="5">
        <v>19.981999999999999</v>
      </c>
      <c r="N4" s="5">
        <v>18.744</v>
      </c>
      <c r="O4" s="5">
        <v>17.773</v>
      </c>
      <c r="P4" s="5">
        <v>16.827000000000002</v>
      </c>
      <c r="Q4" s="5">
        <v>17.088000000000001</v>
      </c>
      <c r="R4" s="5">
        <v>18.055</v>
      </c>
      <c r="S4" s="5">
        <v>19.303000000000001</v>
      </c>
      <c r="T4" s="5">
        <v>20.617000000000001</v>
      </c>
      <c r="U4" s="5">
        <v>23.141999999999999</v>
      </c>
      <c r="V4" s="5">
        <v>25.41</v>
      </c>
    </row>
    <row r="5" spans="1:22" x14ac:dyDescent="0.3">
      <c r="A5" s="3" t="s">
        <v>25</v>
      </c>
      <c r="B5" s="4">
        <v>44995</v>
      </c>
      <c r="C5" s="5">
        <v>61.83</v>
      </c>
      <c r="D5" s="5">
        <v>48.027000000000001</v>
      </c>
      <c r="E5" s="5">
        <v>42.295999999999999</v>
      </c>
      <c r="F5" s="5">
        <v>36.81</v>
      </c>
      <c r="G5" s="5">
        <v>34.100999999999999</v>
      </c>
      <c r="H5" s="5">
        <v>31.390999999999998</v>
      </c>
      <c r="I5" s="5">
        <v>28.667999999999999</v>
      </c>
      <c r="J5" s="5">
        <v>25.931999999999999</v>
      </c>
      <c r="K5" s="5">
        <v>23.213000000000001</v>
      </c>
      <c r="L5" s="5">
        <v>21.888000000000002</v>
      </c>
      <c r="M5" s="5">
        <v>20.617000000000001</v>
      </c>
      <c r="N5" s="5">
        <v>19.437999999999999</v>
      </c>
      <c r="O5" s="5">
        <v>18.404</v>
      </c>
      <c r="P5" s="5">
        <v>17.007000000000001</v>
      </c>
      <c r="Q5" s="5">
        <v>16.725999999999999</v>
      </c>
      <c r="R5" s="5">
        <v>17.369</v>
      </c>
      <c r="S5" s="5">
        <v>18.504000000000001</v>
      </c>
      <c r="T5" s="5">
        <v>19.817</v>
      </c>
      <c r="U5" s="5">
        <v>22.452999999999999</v>
      </c>
      <c r="V5" s="5">
        <v>24.856999999999999</v>
      </c>
    </row>
    <row r="6" spans="1:22" x14ac:dyDescent="0.3">
      <c r="A6" s="3" t="s">
        <v>26</v>
      </c>
      <c r="B6" s="4">
        <v>45026</v>
      </c>
      <c r="C6" s="5">
        <v>62.1</v>
      </c>
      <c r="D6" s="5">
        <v>44.640999999999998</v>
      </c>
      <c r="E6" s="5">
        <v>39.68</v>
      </c>
      <c r="F6" s="5">
        <v>34.965000000000003</v>
      </c>
      <c r="G6" s="5">
        <v>32.65</v>
      </c>
      <c r="H6" s="5">
        <v>30.341000000000001</v>
      </c>
      <c r="I6" s="5">
        <v>28.024000000000001</v>
      </c>
      <c r="J6" s="5">
        <v>25.689</v>
      </c>
      <c r="K6" s="5">
        <v>23.338999999999999</v>
      </c>
      <c r="L6" s="5">
        <v>22.166</v>
      </c>
      <c r="M6" s="5">
        <v>21.004999999999999</v>
      </c>
      <c r="N6" s="5">
        <v>19.873000000000001</v>
      </c>
      <c r="O6" s="5">
        <v>18.797999999999998</v>
      </c>
      <c r="P6" s="5">
        <v>17.021999999999998</v>
      </c>
      <c r="Q6" s="5">
        <v>16.244</v>
      </c>
      <c r="R6" s="5">
        <v>16.716000000000001</v>
      </c>
      <c r="S6" s="5">
        <v>17.895</v>
      </c>
      <c r="T6" s="5">
        <v>19.276</v>
      </c>
      <c r="U6" s="5">
        <v>21.975999999999999</v>
      </c>
      <c r="V6" s="5">
        <v>24.373999999999999</v>
      </c>
    </row>
    <row r="7" spans="1:22" x14ac:dyDescent="0.3">
      <c r="A7" s="3" t="s">
        <v>27</v>
      </c>
      <c r="B7" s="4">
        <v>45056</v>
      </c>
      <c r="C7" s="5">
        <v>62.366</v>
      </c>
      <c r="D7" s="5">
        <v>43.085999999999999</v>
      </c>
      <c r="E7" s="5">
        <v>38.575000000000003</v>
      </c>
      <c r="F7" s="5">
        <v>34.305999999999997</v>
      </c>
      <c r="G7" s="5">
        <v>32.216999999999999</v>
      </c>
      <c r="H7" s="5">
        <v>30.135000000000002</v>
      </c>
      <c r="I7" s="5">
        <v>28.045999999999999</v>
      </c>
      <c r="J7" s="5">
        <v>25.931999999999999</v>
      </c>
      <c r="K7" s="5">
        <v>23.777999999999999</v>
      </c>
      <c r="L7" s="5">
        <v>22.681999999999999</v>
      </c>
      <c r="M7" s="5">
        <v>21.574000000000002</v>
      </c>
      <c r="N7" s="5">
        <v>20.457000000000001</v>
      </c>
      <c r="O7" s="5">
        <v>19.34</v>
      </c>
      <c r="P7" s="5">
        <v>17.28</v>
      </c>
      <c r="Q7" s="5">
        <v>16.472000000000001</v>
      </c>
      <c r="R7" s="5">
        <v>16.981000000000002</v>
      </c>
      <c r="S7" s="5">
        <v>17.832000000000001</v>
      </c>
      <c r="T7" s="5">
        <v>18.739999999999998</v>
      </c>
      <c r="U7" s="5">
        <v>20.465</v>
      </c>
      <c r="V7" s="5">
        <v>22.001000000000001</v>
      </c>
    </row>
    <row r="8" spans="1:22" x14ac:dyDescent="0.3">
      <c r="A8" s="3" t="s">
        <v>28</v>
      </c>
      <c r="B8" s="4">
        <v>45089</v>
      </c>
      <c r="C8" s="5">
        <v>62.661000000000001</v>
      </c>
      <c r="D8" s="5">
        <v>42.695</v>
      </c>
      <c r="E8" s="5">
        <v>38.345999999999997</v>
      </c>
      <c r="F8" s="5">
        <v>34.241999999999997</v>
      </c>
      <c r="G8" s="5">
        <v>32.237000000000002</v>
      </c>
      <c r="H8" s="5">
        <v>30.242000000000001</v>
      </c>
      <c r="I8" s="5">
        <v>28.24</v>
      </c>
      <c r="J8" s="5">
        <v>26.213000000000001</v>
      </c>
      <c r="K8" s="5">
        <v>24.143000000000001</v>
      </c>
      <c r="L8" s="5">
        <v>23.084</v>
      </c>
      <c r="M8" s="5">
        <v>22.004000000000001</v>
      </c>
      <c r="N8" s="5">
        <v>20.901</v>
      </c>
      <c r="O8" s="5">
        <v>19.773</v>
      </c>
      <c r="P8" s="5">
        <v>17.515000000000001</v>
      </c>
      <c r="Q8" s="5">
        <v>17.007999999999999</v>
      </c>
      <c r="R8" s="5">
        <v>17.459</v>
      </c>
      <c r="S8" s="5">
        <v>17.934999999999999</v>
      </c>
      <c r="T8" s="5">
        <v>18.393000000000001</v>
      </c>
      <c r="U8" s="5">
        <v>19.238</v>
      </c>
      <c r="V8" s="5">
        <v>19.995999999999999</v>
      </c>
    </row>
    <row r="9" spans="1:22" x14ac:dyDescent="0.3">
      <c r="A9" s="3" t="s">
        <v>29</v>
      </c>
      <c r="B9" s="4">
        <v>45117</v>
      </c>
      <c r="C9" s="5">
        <v>62.911999999999999</v>
      </c>
      <c r="D9" s="5">
        <v>41.167999999999999</v>
      </c>
      <c r="E9" s="5">
        <v>37.152999999999999</v>
      </c>
      <c r="F9" s="5">
        <v>33.383000000000003</v>
      </c>
      <c r="G9" s="5">
        <v>31.550999999999998</v>
      </c>
      <c r="H9" s="5">
        <v>29.734999999999999</v>
      </c>
      <c r="I9" s="5">
        <v>27.922999999999998</v>
      </c>
      <c r="J9" s="5">
        <v>26.1</v>
      </c>
      <c r="K9" s="5">
        <v>24.251999999999999</v>
      </c>
      <c r="L9" s="5">
        <v>23.312999999999999</v>
      </c>
      <c r="M9" s="5">
        <v>22.361000000000001</v>
      </c>
      <c r="N9" s="5">
        <v>21.395</v>
      </c>
      <c r="O9" s="5">
        <v>20.411000000000001</v>
      </c>
      <c r="P9" s="5">
        <v>18.414000000000001</v>
      </c>
      <c r="Q9" s="5">
        <v>17.010000000000002</v>
      </c>
      <c r="R9" s="5">
        <v>16.963000000000001</v>
      </c>
      <c r="S9" s="5">
        <v>17.448</v>
      </c>
      <c r="T9" s="5">
        <v>17.95</v>
      </c>
      <c r="U9" s="5">
        <v>18.89</v>
      </c>
      <c r="V9" s="5">
        <v>19.733000000000001</v>
      </c>
    </row>
    <row r="10" spans="1:22" x14ac:dyDescent="0.3">
      <c r="A10" s="3" t="s">
        <v>30</v>
      </c>
      <c r="B10" s="4">
        <v>45148</v>
      </c>
      <c r="C10" s="5">
        <v>63.19</v>
      </c>
      <c r="D10" s="5">
        <v>40.368000000000002</v>
      </c>
      <c r="E10" s="5">
        <v>36.505000000000003</v>
      </c>
      <c r="F10" s="5">
        <v>32.887999999999998</v>
      </c>
      <c r="G10" s="5">
        <v>31.132999999999999</v>
      </c>
      <c r="H10" s="5">
        <v>29.396999999999998</v>
      </c>
      <c r="I10" s="5">
        <v>27.667999999999999</v>
      </c>
      <c r="J10" s="5">
        <v>25.934000000000001</v>
      </c>
      <c r="K10" s="5">
        <v>24.181000000000001</v>
      </c>
      <c r="L10" s="5">
        <v>23.292000000000002</v>
      </c>
      <c r="M10" s="5">
        <v>22.393999999999998</v>
      </c>
      <c r="N10" s="5">
        <v>21.483000000000001</v>
      </c>
      <c r="O10" s="5">
        <v>20.558</v>
      </c>
      <c r="P10" s="5">
        <v>18.666</v>
      </c>
      <c r="Q10" s="5">
        <v>16.896000000000001</v>
      </c>
      <c r="R10" s="5">
        <v>16.73</v>
      </c>
      <c r="S10" s="5">
        <v>17.16</v>
      </c>
      <c r="T10" s="5">
        <v>17.617999999999999</v>
      </c>
      <c r="U10" s="5">
        <v>18.481999999999999</v>
      </c>
      <c r="V10" s="5">
        <v>19.260000000000002</v>
      </c>
    </row>
    <row r="11" spans="1:22" x14ac:dyDescent="0.3">
      <c r="A11" s="3" t="s">
        <v>31</v>
      </c>
      <c r="B11" s="4">
        <v>45180</v>
      </c>
      <c r="C11" s="5">
        <v>63.472999999999999</v>
      </c>
      <c r="D11" s="5">
        <v>40.112000000000002</v>
      </c>
      <c r="E11" s="5">
        <v>36.277999999999999</v>
      </c>
      <c r="F11" s="5">
        <v>32.686999999999998</v>
      </c>
      <c r="G11" s="5">
        <v>30.945</v>
      </c>
      <c r="H11" s="5">
        <v>29.222000000000001</v>
      </c>
      <c r="I11" s="5">
        <v>27.506</v>
      </c>
      <c r="J11" s="5">
        <v>25.783999999999999</v>
      </c>
      <c r="K11" s="5">
        <v>24.044</v>
      </c>
      <c r="L11" s="5">
        <v>23.161000000000001</v>
      </c>
      <c r="M11" s="5">
        <v>22.268999999999998</v>
      </c>
      <c r="N11" s="5">
        <v>21.363</v>
      </c>
      <c r="O11" s="5">
        <v>20.443000000000001</v>
      </c>
      <c r="P11" s="5">
        <v>18.553000000000001</v>
      </c>
      <c r="Q11" s="5">
        <v>16.771000000000001</v>
      </c>
      <c r="R11" s="5">
        <v>16.707999999999998</v>
      </c>
      <c r="S11" s="5">
        <v>17.044</v>
      </c>
      <c r="T11" s="5">
        <v>17.398</v>
      </c>
      <c r="U11" s="5">
        <v>18.065999999999999</v>
      </c>
      <c r="V11" s="5">
        <v>18.673999999999999</v>
      </c>
    </row>
    <row r="12" spans="1:22" x14ac:dyDescent="0.3">
      <c r="A12" s="3" t="s">
        <v>32</v>
      </c>
      <c r="B12" s="4">
        <v>45209</v>
      </c>
      <c r="C12" s="5">
        <v>63.725999999999999</v>
      </c>
      <c r="D12" s="5">
        <v>39.921999999999997</v>
      </c>
      <c r="E12" s="5">
        <v>36.107999999999997</v>
      </c>
      <c r="F12" s="5">
        <v>32.536999999999999</v>
      </c>
      <c r="G12" s="5">
        <v>30.805</v>
      </c>
      <c r="H12" s="5">
        <v>29.091999999999999</v>
      </c>
      <c r="I12" s="5">
        <v>27.385000000000002</v>
      </c>
      <c r="J12" s="5">
        <v>25.672999999999998</v>
      </c>
      <c r="K12" s="5">
        <v>23.942</v>
      </c>
      <c r="L12" s="5">
        <v>23.064</v>
      </c>
      <c r="M12" s="5">
        <v>22.175999999999998</v>
      </c>
      <c r="N12" s="5">
        <v>21.274000000000001</v>
      </c>
      <c r="O12" s="5">
        <v>20.356999999999999</v>
      </c>
      <c r="P12" s="5">
        <v>18.469000000000001</v>
      </c>
      <c r="Q12" s="5">
        <v>16.677</v>
      </c>
      <c r="R12" s="5">
        <v>16.692</v>
      </c>
      <c r="S12" s="5">
        <v>16.957000000000001</v>
      </c>
      <c r="T12" s="5">
        <v>17.231999999999999</v>
      </c>
      <c r="U12" s="5">
        <v>17.753</v>
      </c>
      <c r="V12" s="5">
        <v>18.228000000000002</v>
      </c>
    </row>
    <row r="13" spans="1:22" x14ac:dyDescent="0.3">
      <c r="A13" s="3" t="s">
        <v>33</v>
      </c>
      <c r="B13" s="4">
        <v>45240</v>
      </c>
      <c r="C13" s="5">
        <v>63.993000000000002</v>
      </c>
      <c r="D13" s="5">
        <v>39.750999999999998</v>
      </c>
      <c r="E13" s="5">
        <v>35.956000000000003</v>
      </c>
      <c r="F13" s="5">
        <v>32.402999999999999</v>
      </c>
      <c r="G13" s="5">
        <v>30.68</v>
      </c>
      <c r="H13" s="5">
        <v>28.975000000000001</v>
      </c>
      <c r="I13" s="5">
        <v>27.277000000000001</v>
      </c>
      <c r="J13" s="5">
        <v>25.573</v>
      </c>
      <c r="K13" s="5">
        <v>23.85</v>
      </c>
      <c r="L13" s="5">
        <v>22.977</v>
      </c>
      <c r="M13" s="5">
        <v>22.091999999999999</v>
      </c>
      <c r="N13" s="5">
        <v>21.195</v>
      </c>
      <c r="O13" s="5">
        <v>20.280999999999999</v>
      </c>
      <c r="P13" s="5">
        <v>18.393999999999998</v>
      </c>
      <c r="Q13" s="5">
        <v>16.594000000000001</v>
      </c>
      <c r="R13" s="5">
        <v>16.677</v>
      </c>
      <c r="S13" s="5">
        <v>16.879000000000001</v>
      </c>
      <c r="T13" s="5">
        <v>17.082999999999998</v>
      </c>
      <c r="U13" s="5">
        <v>17.466999999999999</v>
      </c>
      <c r="V13" s="5">
        <v>17.82</v>
      </c>
    </row>
    <row r="14" spans="1:22" x14ac:dyDescent="0.3">
      <c r="A14" s="3" t="s">
        <v>34</v>
      </c>
      <c r="B14" s="4">
        <v>45271</v>
      </c>
      <c r="C14" s="5">
        <v>64.254000000000005</v>
      </c>
      <c r="D14" s="5">
        <v>39.606000000000002</v>
      </c>
      <c r="E14" s="5">
        <v>35.826999999999998</v>
      </c>
      <c r="F14" s="5">
        <v>32.289000000000001</v>
      </c>
      <c r="G14" s="5">
        <v>30.573</v>
      </c>
      <c r="H14" s="5">
        <v>28.876000000000001</v>
      </c>
      <c r="I14" s="5">
        <v>27.184999999999999</v>
      </c>
      <c r="J14" s="5">
        <v>25.489000000000001</v>
      </c>
      <c r="K14" s="5">
        <v>23.773</v>
      </c>
      <c r="L14" s="5">
        <v>22.902999999999999</v>
      </c>
      <c r="M14" s="5">
        <v>22.021999999999998</v>
      </c>
      <c r="N14" s="5">
        <v>21.126999999999999</v>
      </c>
      <c r="O14" s="5">
        <v>20.216000000000001</v>
      </c>
      <c r="P14" s="5">
        <v>18.329999999999998</v>
      </c>
      <c r="Q14" s="5">
        <v>16.523</v>
      </c>
      <c r="R14" s="5">
        <v>16.664999999999999</v>
      </c>
      <c r="S14" s="5">
        <v>16.814</v>
      </c>
      <c r="T14" s="5">
        <v>16.956</v>
      </c>
      <c r="U14" s="5">
        <v>17.222999999999999</v>
      </c>
      <c r="V14" s="5">
        <v>17.468</v>
      </c>
    </row>
    <row r="15" spans="1:22" x14ac:dyDescent="0.3">
      <c r="A15" s="3" t="s">
        <v>35</v>
      </c>
      <c r="B15" s="4">
        <v>45301</v>
      </c>
      <c r="C15" s="5">
        <v>64.501999999999995</v>
      </c>
      <c r="D15" s="5">
        <v>39.826999999999998</v>
      </c>
      <c r="E15" s="5">
        <v>36.152000000000001</v>
      </c>
      <c r="F15" s="5">
        <v>32.725999999999999</v>
      </c>
      <c r="G15" s="5">
        <v>31.07</v>
      </c>
      <c r="H15" s="5">
        <v>29.437000000000001</v>
      </c>
      <c r="I15" s="5">
        <v>27.815000000000001</v>
      </c>
      <c r="J15" s="5">
        <v>26.195</v>
      </c>
      <c r="K15" s="5">
        <v>24.564</v>
      </c>
      <c r="L15" s="5">
        <v>23.74</v>
      </c>
      <c r="M15" s="5">
        <v>22.908999999999999</v>
      </c>
      <c r="N15" s="5">
        <v>22.068999999999999</v>
      </c>
      <c r="O15" s="5">
        <v>21.216000000000001</v>
      </c>
      <c r="P15" s="5">
        <v>19.465</v>
      </c>
      <c r="Q15" s="5">
        <v>17.675000000000001</v>
      </c>
      <c r="R15" s="5">
        <v>16.263000000000002</v>
      </c>
      <c r="S15" s="5">
        <v>16.311</v>
      </c>
      <c r="T15" s="5">
        <v>16.483000000000001</v>
      </c>
      <c r="U15" s="5">
        <v>16.800999999999998</v>
      </c>
      <c r="V15" s="5">
        <v>17.093</v>
      </c>
    </row>
    <row r="16" spans="1:22" x14ac:dyDescent="0.3">
      <c r="A16" s="3" t="s">
        <v>36</v>
      </c>
      <c r="B16" s="4">
        <v>45334</v>
      </c>
      <c r="C16" s="5">
        <v>64.77</v>
      </c>
      <c r="D16" s="5">
        <v>39.762</v>
      </c>
      <c r="E16" s="5">
        <v>36.130000000000003</v>
      </c>
      <c r="F16" s="5">
        <v>32.746000000000002</v>
      </c>
      <c r="G16" s="5">
        <v>31.111999999999998</v>
      </c>
      <c r="H16" s="5">
        <v>29.501999999999999</v>
      </c>
      <c r="I16" s="5">
        <v>27.905999999999999</v>
      </c>
      <c r="J16" s="5">
        <v>26.311</v>
      </c>
      <c r="K16" s="5">
        <v>24.709</v>
      </c>
      <c r="L16" s="5">
        <v>23.901</v>
      </c>
      <c r="M16" s="5">
        <v>23.085999999999999</v>
      </c>
      <c r="N16" s="5">
        <v>22.263000000000002</v>
      </c>
      <c r="O16" s="5">
        <v>21.428999999999998</v>
      </c>
      <c r="P16" s="5">
        <v>19.72</v>
      </c>
      <c r="Q16" s="5">
        <v>17.934999999999999</v>
      </c>
      <c r="R16" s="5">
        <v>16.074000000000002</v>
      </c>
      <c r="S16" s="5">
        <v>16.097000000000001</v>
      </c>
      <c r="T16" s="5">
        <v>16.266999999999999</v>
      </c>
      <c r="U16" s="5">
        <v>16.582999999999998</v>
      </c>
      <c r="V16" s="5">
        <v>16.872</v>
      </c>
    </row>
    <row r="17" spans="1:22" x14ac:dyDescent="0.3">
      <c r="A17" s="3" t="s">
        <v>37</v>
      </c>
      <c r="B17" s="4">
        <v>45362</v>
      </c>
      <c r="C17" s="5">
        <v>64.992999999999995</v>
      </c>
      <c r="D17" s="5">
        <v>39.616999999999997</v>
      </c>
      <c r="E17" s="5">
        <v>35.994</v>
      </c>
      <c r="F17" s="5">
        <v>32.619</v>
      </c>
      <c r="G17" s="5">
        <v>30.989000000000001</v>
      </c>
      <c r="H17" s="5">
        <v>29.382999999999999</v>
      </c>
      <c r="I17" s="5">
        <v>27.79</v>
      </c>
      <c r="J17" s="5">
        <v>26.199000000000002</v>
      </c>
      <c r="K17" s="5">
        <v>24.6</v>
      </c>
      <c r="L17" s="5">
        <v>23.794</v>
      </c>
      <c r="M17" s="5">
        <v>22.981000000000002</v>
      </c>
      <c r="N17" s="5">
        <v>22.158999999999999</v>
      </c>
      <c r="O17" s="5">
        <v>21.326000000000001</v>
      </c>
      <c r="P17" s="5">
        <v>19.62</v>
      </c>
      <c r="Q17" s="5">
        <v>17.837</v>
      </c>
      <c r="R17" s="5">
        <v>16.013000000000002</v>
      </c>
      <c r="S17" s="5">
        <v>16.042000000000002</v>
      </c>
      <c r="T17" s="5">
        <v>16.196999999999999</v>
      </c>
      <c r="U17" s="5">
        <v>16.486999999999998</v>
      </c>
      <c r="V17" s="5">
        <v>16.753</v>
      </c>
    </row>
    <row r="18" spans="1:22" x14ac:dyDescent="0.3">
      <c r="A18" s="3" t="s">
        <v>38</v>
      </c>
      <c r="B18" s="4">
        <v>45392</v>
      </c>
      <c r="C18" s="5">
        <v>65.227999999999994</v>
      </c>
      <c r="D18" s="5">
        <v>39.476999999999997</v>
      </c>
      <c r="E18" s="5">
        <v>35.863999999999997</v>
      </c>
      <c r="F18" s="5">
        <v>32.497</v>
      </c>
      <c r="G18" s="5">
        <v>30.870999999999999</v>
      </c>
      <c r="H18" s="5">
        <v>29.268999999999998</v>
      </c>
      <c r="I18" s="5">
        <v>27.68</v>
      </c>
      <c r="J18" s="5">
        <v>26.091999999999999</v>
      </c>
      <c r="K18" s="5">
        <v>24.497</v>
      </c>
      <c r="L18" s="5">
        <v>23.692</v>
      </c>
      <c r="M18" s="5">
        <v>22.88</v>
      </c>
      <c r="N18" s="5">
        <v>22.06</v>
      </c>
      <c r="O18" s="5">
        <v>21.228000000000002</v>
      </c>
      <c r="P18" s="5">
        <v>19.524000000000001</v>
      </c>
      <c r="Q18" s="5">
        <v>17.742999999999999</v>
      </c>
      <c r="R18" s="5">
        <v>15.955</v>
      </c>
      <c r="S18" s="5">
        <v>15.988</v>
      </c>
      <c r="T18" s="5">
        <v>16.13</v>
      </c>
      <c r="U18" s="5">
        <v>16.396000000000001</v>
      </c>
      <c r="V18" s="5">
        <v>16.638999999999999</v>
      </c>
    </row>
    <row r="19" spans="1:22" x14ac:dyDescent="0.3">
      <c r="A19" s="3" t="s">
        <v>39</v>
      </c>
      <c r="B19" s="4">
        <v>45422</v>
      </c>
      <c r="C19" s="5">
        <v>65.459000000000003</v>
      </c>
      <c r="D19" s="5">
        <v>39.353000000000002</v>
      </c>
      <c r="E19" s="5">
        <v>35.747999999999998</v>
      </c>
      <c r="F19" s="5">
        <v>32.389000000000003</v>
      </c>
      <c r="G19" s="5">
        <v>30.765999999999998</v>
      </c>
      <c r="H19" s="5">
        <v>29.167000000000002</v>
      </c>
      <c r="I19" s="5">
        <v>27.581</v>
      </c>
      <c r="J19" s="5">
        <v>25.997</v>
      </c>
      <c r="K19" s="5">
        <v>24.404</v>
      </c>
      <c r="L19" s="5">
        <v>23.6</v>
      </c>
      <c r="M19" s="5">
        <v>22.79</v>
      </c>
      <c r="N19" s="5">
        <v>21.971</v>
      </c>
      <c r="O19" s="5">
        <v>21.140999999999998</v>
      </c>
      <c r="P19" s="5">
        <v>19.437999999999999</v>
      </c>
      <c r="Q19" s="5">
        <v>17.658999999999999</v>
      </c>
      <c r="R19" s="5">
        <v>15.901999999999999</v>
      </c>
      <c r="S19" s="5">
        <v>15.941000000000001</v>
      </c>
      <c r="T19" s="5">
        <v>16.071000000000002</v>
      </c>
      <c r="U19" s="5">
        <v>16.312999999999999</v>
      </c>
      <c r="V19" s="5">
        <v>16.536000000000001</v>
      </c>
    </row>
    <row r="20" spans="1:22" x14ac:dyDescent="0.3">
      <c r="A20" s="3" t="s">
        <v>40</v>
      </c>
      <c r="B20" s="4">
        <v>45453</v>
      </c>
      <c r="C20" s="5">
        <v>65.694999999999993</v>
      </c>
      <c r="D20" s="5">
        <v>39.238</v>
      </c>
      <c r="E20" s="5">
        <v>35.64</v>
      </c>
      <c r="F20" s="5">
        <v>32.287999999999997</v>
      </c>
      <c r="G20" s="5">
        <v>30.669</v>
      </c>
      <c r="H20" s="5">
        <v>29.073</v>
      </c>
      <c r="I20" s="5">
        <v>27.489000000000001</v>
      </c>
      <c r="J20" s="5">
        <v>25.908000000000001</v>
      </c>
      <c r="K20" s="5">
        <v>24.318000000000001</v>
      </c>
      <c r="L20" s="5">
        <v>23.515000000000001</v>
      </c>
      <c r="M20" s="5">
        <v>22.706</v>
      </c>
      <c r="N20" s="5">
        <v>21.888000000000002</v>
      </c>
      <c r="O20" s="5">
        <v>21.059000000000001</v>
      </c>
      <c r="P20" s="5">
        <v>19.359000000000002</v>
      </c>
      <c r="Q20" s="5">
        <v>17.581</v>
      </c>
      <c r="R20" s="5">
        <v>15.853999999999999</v>
      </c>
      <c r="S20" s="5">
        <v>15.897</v>
      </c>
      <c r="T20" s="5">
        <v>16.015000000000001</v>
      </c>
      <c r="U20" s="5">
        <v>16.236999999999998</v>
      </c>
      <c r="V20" s="5">
        <v>16.440999999999999</v>
      </c>
    </row>
    <row r="21" spans="1:22" x14ac:dyDescent="0.3">
      <c r="A21" s="3" t="s">
        <v>41</v>
      </c>
      <c r="B21" s="4">
        <v>45483</v>
      </c>
      <c r="C21" s="5">
        <v>65.918000000000006</v>
      </c>
      <c r="D21" s="5">
        <v>39.137</v>
      </c>
      <c r="E21" s="5">
        <v>35.546999999999997</v>
      </c>
      <c r="F21" s="5">
        <v>32.200000000000003</v>
      </c>
      <c r="G21" s="5">
        <v>30.584</v>
      </c>
      <c r="H21" s="5">
        <v>28.99</v>
      </c>
      <c r="I21" s="5">
        <v>27.408999999999999</v>
      </c>
      <c r="J21" s="5">
        <v>25.83</v>
      </c>
      <c r="K21" s="5">
        <v>24.242000000000001</v>
      </c>
      <c r="L21" s="5">
        <v>23.440999999999999</v>
      </c>
      <c r="M21" s="5">
        <v>22.632999999999999</v>
      </c>
      <c r="N21" s="5">
        <v>21.815999999999999</v>
      </c>
      <c r="O21" s="5">
        <v>20.988</v>
      </c>
      <c r="P21" s="5">
        <v>19.289000000000001</v>
      </c>
      <c r="Q21" s="5">
        <v>17.513000000000002</v>
      </c>
      <c r="R21" s="5">
        <v>15.811</v>
      </c>
      <c r="S21" s="5">
        <v>15.858000000000001</v>
      </c>
      <c r="T21" s="5">
        <v>15.967000000000001</v>
      </c>
      <c r="U21" s="5">
        <v>16.170999999999999</v>
      </c>
      <c r="V21" s="5">
        <v>16.358000000000001</v>
      </c>
    </row>
    <row r="22" spans="1:22" x14ac:dyDescent="0.3">
      <c r="A22" s="3" t="s">
        <v>42</v>
      </c>
      <c r="B22" s="4">
        <v>45516</v>
      </c>
      <c r="C22" s="5">
        <v>66.161000000000001</v>
      </c>
      <c r="D22" s="5">
        <v>39.036999999999999</v>
      </c>
      <c r="E22" s="5">
        <v>35.453000000000003</v>
      </c>
      <c r="F22" s="5">
        <v>32.113</v>
      </c>
      <c r="G22" s="5">
        <v>30.498999999999999</v>
      </c>
      <c r="H22" s="5">
        <v>28.908000000000001</v>
      </c>
      <c r="I22" s="5">
        <v>27.33</v>
      </c>
      <c r="J22" s="5">
        <v>25.753</v>
      </c>
      <c r="K22" s="5">
        <v>24.167999999999999</v>
      </c>
      <c r="L22" s="5">
        <v>23.367000000000001</v>
      </c>
      <c r="M22" s="5">
        <v>22.56</v>
      </c>
      <c r="N22" s="5">
        <v>21.744</v>
      </c>
      <c r="O22" s="5">
        <v>20.917000000000002</v>
      </c>
      <c r="P22" s="5">
        <v>19.22</v>
      </c>
      <c r="Q22" s="5">
        <v>17.445</v>
      </c>
      <c r="R22" s="5">
        <v>15.769</v>
      </c>
      <c r="S22" s="5">
        <v>15.82</v>
      </c>
      <c r="T22" s="5">
        <v>15.919</v>
      </c>
      <c r="U22" s="5">
        <v>16.103999999999999</v>
      </c>
      <c r="V22" s="5">
        <v>16.274999999999999</v>
      </c>
    </row>
    <row r="23" spans="1:22" x14ac:dyDescent="0.3">
      <c r="A23" s="3" t="s">
        <v>43</v>
      </c>
      <c r="B23" s="4">
        <v>45545</v>
      </c>
      <c r="C23" s="5">
        <v>66.370999999999995</v>
      </c>
      <c r="D23" s="5">
        <v>38.957000000000001</v>
      </c>
      <c r="E23" s="5">
        <v>35.378</v>
      </c>
      <c r="F23" s="5">
        <v>32.042999999999999</v>
      </c>
      <c r="G23" s="5">
        <v>30.431000000000001</v>
      </c>
      <c r="H23" s="5">
        <v>28.843</v>
      </c>
      <c r="I23" s="5">
        <v>27.265999999999998</v>
      </c>
      <c r="J23" s="5">
        <v>25.692</v>
      </c>
      <c r="K23" s="5">
        <v>24.108000000000001</v>
      </c>
      <c r="L23" s="5">
        <v>23.308</v>
      </c>
      <c r="M23" s="5">
        <v>22.501999999999999</v>
      </c>
      <c r="N23" s="5">
        <v>21.687000000000001</v>
      </c>
      <c r="O23" s="5">
        <v>20.86</v>
      </c>
      <c r="P23" s="5">
        <v>19.164999999999999</v>
      </c>
      <c r="Q23" s="5">
        <v>17.390999999999998</v>
      </c>
      <c r="R23" s="5">
        <v>15.734999999999999</v>
      </c>
      <c r="S23" s="5">
        <v>15.789</v>
      </c>
      <c r="T23" s="5">
        <v>15.881</v>
      </c>
      <c r="U23" s="5">
        <v>16.050999999999998</v>
      </c>
      <c r="V23" s="5">
        <v>16.207999999999998</v>
      </c>
    </row>
    <row r="24" spans="1:22" x14ac:dyDescent="0.3">
      <c r="A24" s="3" t="s">
        <v>44</v>
      </c>
      <c r="B24" s="4">
        <v>45575</v>
      </c>
      <c r="C24" s="5">
        <v>66.585999999999999</v>
      </c>
      <c r="D24" s="5">
        <v>38.881</v>
      </c>
      <c r="E24" s="5">
        <v>35.308</v>
      </c>
      <c r="F24" s="5">
        <v>31.975999999999999</v>
      </c>
      <c r="G24" s="5">
        <v>30.367000000000001</v>
      </c>
      <c r="H24" s="5">
        <v>28.780999999999999</v>
      </c>
      <c r="I24" s="5">
        <v>27.206</v>
      </c>
      <c r="J24" s="5">
        <v>25.632999999999999</v>
      </c>
      <c r="K24" s="5">
        <v>24.050999999999998</v>
      </c>
      <c r="L24" s="5">
        <v>23.251999999999999</v>
      </c>
      <c r="M24" s="5">
        <v>22.446999999999999</v>
      </c>
      <c r="N24" s="5">
        <v>21.632000000000001</v>
      </c>
      <c r="O24" s="5">
        <v>20.806999999999999</v>
      </c>
      <c r="P24" s="5">
        <v>19.111999999999998</v>
      </c>
      <c r="Q24" s="5">
        <v>17.338999999999999</v>
      </c>
      <c r="R24" s="5">
        <v>15.702999999999999</v>
      </c>
      <c r="S24" s="5">
        <v>15.76</v>
      </c>
      <c r="T24" s="5">
        <v>15.843999999999999</v>
      </c>
      <c r="U24" s="5">
        <v>16.001000000000001</v>
      </c>
      <c r="V24" s="5">
        <v>16.145</v>
      </c>
    </row>
    <row r="25" spans="1:22" x14ac:dyDescent="0.3">
      <c r="A25" s="3" t="s">
        <v>45</v>
      </c>
      <c r="B25" s="4">
        <v>45608</v>
      </c>
      <c r="C25" s="5">
        <v>66.819000000000003</v>
      </c>
      <c r="D25" s="5">
        <v>38.804000000000002</v>
      </c>
      <c r="E25" s="5">
        <v>35.235999999999997</v>
      </c>
      <c r="F25" s="5">
        <v>31.908999999999999</v>
      </c>
      <c r="G25" s="5">
        <v>30.302</v>
      </c>
      <c r="H25" s="5">
        <v>28.718</v>
      </c>
      <c r="I25" s="5">
        <v>27.145</v>
      </c>
      <c r="J25" s="5">
        <v>25.574000000000002</v>
      </c>
      <c r="K25" s="5">
        <v>23.994</v>
      </c>
      <c r="L25" s="5">
        <v>23.196000000000002</v>
      </c>
      <c r="M25" s="5">
        <v>22.390999999999998</v>
      </c>
      <c r="N25" s="5">
        <v>21.577000000000002</v>
      </c>
      <c r="O25" s="5">
        <v>20.751999999999999</v>
      </c>
      <c r="P25" s="5">
        <v>19.059000000000001</v>
      </c>
      <c r="Q25" s="5">
        <v>17.286999999999999</v>
      </c>
      <c r="R25" s="5">
        <v>15.670999999999999</v>
      </c>
      <c r="S25" s="5">
        <v>15.731</v>
      </c>
      <c r="T25" s="5">
        <v>15.807</v>
      </c>
      <c r="U25" s="5">
        <v>15.95</v>
      </c>
      <c r="V25" s="5">
        <v>16.081</v>
      </c>
    </row>
  </sheetData>
  <phoneticPr fontId="3" type="noConversion"/>
  <pageMargins left="0.5" right="0.5" top="1" bottom="1" header="0.5" footer="0.75"/>
  <pageSetup fitToHeight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F9457-28B5-4D09-931B-7CF91A2FD2AC}">
  <sheetPr codeName="Sheet2">
    <tabColor theme="8" tint="-0.499984740745262"/>
  </sheetPr>
  <dimension ref="A1:H26"/>
  <sheetViews>
    <sheetView workbookViewId="0">
      <selection activeCell="C10" sqref="C10"/>
    </sheetView>
  </sheetViews>
  <sheetFormatPr defaultRowHeight="14.4" x14ac:dyDescent="0.3"/>
  <cols>
    <col min="1" max="2" width="19.44140625" customWidth="1"/>
    <col min="5" max="5" width="11.21875" bestFit="1" customWidth="1"/>
    <col min="7" max="7" width="20.33203125" customWidth="1"/>
  </cols>
  <sheetData>
    <row r="1" spans="1:8" x14ac:dyDescent="0.3">
      <c r="A1" t="s">
        <v>47</v>
      </c>
      <c r="B1" t="s">
        <v>46</v>
      </c>
      <c r="C1" t="s">
        <v>48</v>
      </c>
      <c r="E1" s="7">
        <f>DATE(2022,11,10)</f>
        <v>44875</v>
      </c>
      <c r="G1" t="s">
        <v>49</v>
      </c>
      <c r="H1" s="9">
        <v>0.03</v>
      </c>
    </row>
    <row r="2" spans="1:8" x14ac:dyDescent="0.3">
      <c r="A2" s="6">
        <v>44879</v>
      </c>
      <c r="B2" s="8">
        <f>YEARFRAC($E$1,$A2,3)</f>
        <v>1.0958904109589041E-2</v>
      </c>
      <c r="C2" s="8">
        <v>3.9007999999999998</v>
      </c>
    </row>
    <row r="3" spans="1:8" x14ac:dyDescent="0.3">
      <c r="A3" s="6">
        <v>44880</v>
      </c>
      <c r="B3" s="8">
        <f t="shared" ref="B3:B26" si="0">YEARFRAC($E$1,$A3,3)</f>
        <v>1.3698630136986301E-2</v>
      </c>
      <c r="C3" s="8">
        <v>3.9009</v>
      </c>
    </row>
    <row r="4" spans="1:8" x14ac:dyDescent="0.3">
      <c r="A4" s="6">
        <v>44887</v>
      </c>
      <c r="B4" s="8">
        <f t="shared" si="0"/>
        <v>3.287671232876712E-2</v>
      </c>
      <c r="C4" s="8">
        <v>4.1708999999999996</v>
      </c>
    </row>
    <row r="5" spans="1:8" x14ac:dyDescent="0.3">
      <c r="A5" s="6">
        <v>44910</v>
      </c>
      <c r="B5" s="8">
        <f t="shared" si="0"/>
        <v>9.5890410958904104E-2</v>
      </c>
      <c r="C5" s="8">
        <v>4.4001999999999999</v>
      </c>
    </row>
    <row r="6" spans="1:8" x14ac:dyDescent="0.3">
      <c r="A6" s="6">
        <v>44943</v>
      </c>
      <c r="B6" s="8">
        <f t="shared" si="0"/>
        <v>0.18630136986301371</v>
      </c>
      <c r="C6" s="8">
        <v>4.5918999999999999</v>
      </c>
    </row>
    <row r="7" spans="1:8" x14ac:dyDescent="0.3">
      <c r="A7" s="6">
        <v>44972</v>
      </c>
      <c r="B7" s="8">
        <f t="shared" si="0"/>
        <v>0.26575342465753427</v>
      </c>
      <c r="C7" s="8">
        <v>4.7369000000000003</v>
      </c>
    </row>
    <row r="8" spans="1:8" x14ac:dyDescent="0.3">
      <c r="A8" s="6">
        <v>45061</v>
      </c>
      <c r="B8" s="8">
        <f t="shared" si="0"/>
        <v>0.50958904109589043</v>
      </c>
      <c r="C8" s="8">
        <v>4.9915000000000003</v>
      </c>
    </row>
    <row r="9" spans="1:8" x14ac:dyDescent="0.3">
      <c r="A9" s="6">
        <v>45153</v>
      </c>
      <c r="B9" s="8">
        <f t="shared" si="0"/>
        <v>0.76164383561643834</v>
      </c>
      <c r="C9" s="8">
        <v>5.1078000000000001</v>
      </c>
    </row>
    <row r="10" spans="1:8" x14ac:dyDescent="0.3">
      <c r="A10" s="6">
        <v>45245</v>
      </c>
      <c r="B10" s="8">
        <f t="shared" si="0"/>
        <v>1.0136986301369864</v>
      </c>
      <c r="C10" s="8">
        <v>5.1106999999999996</v>
      </c>
    </row>
    <row r="11" spans="1:8" x14ac:dyDescent="0.3">
      <c r="A11" s="6">
        <v>45611</v>
      </c>
      <c r="B11" s="8">
        <f t="shared" si="0"/>
        <v>2.0164383561643837</v>
      </c>
      <c r="C11" s="8">
        <v>4.7477</v>
      </c>
    </row>
    <row r="12" spans="1:8" x14ac:dyDescent="0.3">
      <c r="A12" s="6">
        <v>45978</v>
      </c>
      <c r="B12" s="8">
        <f t="shared" si="0"/>
        <v>3.021917808219178</v>
      </c>
      <c r="C12" s="8">
        <v>4.3868</v>
      </c>
    </row>
    <row r="13" spans="1:8" x14ac:dyDescent="0.3">
      <c r="A13" s="6">
        <v>46342</v>
      </c>
      <c r="B13" s="8">
        <f t="shared" si="0"/>
        <v>4.0191780821917806</v>
      </c>
      <c r="C13" s="8">
        <v>4.1622000000000003</v>
      </c>
    </row>
    <row r="14" spans="1:8" x14ac:dyDescent="0.3">
      <c r="A14" s="6">
        <v>46706</v>
      </c>
      <c r="B14" s="8">
        <f t="shared" si="0"/>
        <v>5.0164383561643833</v>
      </c>
      <c r="C14" s="8">
        <v>4.03</v>
      </c>
    </row>
    <row r="15" spans="1:8" x14ac:dyDescent="0.3">
      <c r="A15" s="6">
        <v>47072</v>
      </c>
      <c r="B15" s="8">
        <f t="shared" si="0"/>
        <v>6.0191780821917806</v>
      </c>
      <c r="C15" s="8">
        <v>3.9485999999999999</v>
      </c>
    </row>
    <row r="16" spans="1:8" x14ac:dyDescent="0.3">
      <c r="A16" s="6">
        <v>47437</v>
      </c>
      <c r="B16" s="8">
        <f t="shared" si="0"/>
        <v>7.0191780821917806</v>
      </c>
      <c r="C16" s="8">
        <v>3.8946000000000001</v>
      </c>
    </row>
    <row r="17" spans="1:3" x14ac:dyDescent="0.3">
      <c r="A17" s="6">
        <v>47802</v>
      </c>
      <c r="B17" s="8">
        <f t="shared" si="0"/>
        <v>8.0191780821917806</v>
      </c>
      <c r="C17" s="8">
        <v>3.8593000000000002</v>
      </c>
    </row>
    <row r="18" spans="1:3" x14ac:dyDescent="0.3">
      <c r="A18" s="6">
        <v>48169</v>
      </c>
      <c r="B18" s="8">
        <f t="shared" si="0"/>
        <v>9.0246575342465754</v>
      </c>
      <c r="C18" s="8">
        <v>3.8439999999999999</v>
      </c>
    </row>
    <row r="19" spans="1:3" x14ac:dyDescent="0.3">
      <c r="A19" s="6">
        <v>48533</v>
      </c>
      <c r="B19" s="8">
        <f t="shared" si="0"/>
        <v>10.021917808219179</v>
      </c>
      <c r="C19" s="8">
        <v>3.8451</v>
      </c>
    </row>
    <row r="20" spans="1:3" x14ac:dyDescent="0.3">
      <c r="A20" s="6">
        <v>49263</v>
      </c>
      <c r="B20" s="8">
        <f t="shared" si="0"/>
        <v>12.021917808219179</v>
      </c>
      <c r="C20" s="8">
        <v>3.8622000000000001</v>
      </c>
    </row>
    <row r="21" spans="1:3" x14ac:dyDescent="0.3">
      <c r="A21" s="6">
        <v>50360</v>
      </c>
      <c r="B21" s="8">
        <f t="shared" si="0"/>
        <v>15.027397260273972</v>
      </c>
      <c r="C21" s="8">
        <v>3.8894000000000002</v>
      </c>
    </row>
    <row r="22" spans="1:3" x14ac:dyDescent="0.3">
      <c r="A22" s="6">
        <v>52187</v>
      </c>
      <c r="B22" s="8">
        <f t="shared" si="0"/>
        <v>20.032876712328768</v>
      </c>
      <c r="C22" s="8">
        <v>3.8208000000000002</v>
      </c>
    </row>
    <row r="23" spans="1:3" x14ac:dyDescent="0.3">
      <c r="A23" s="6">
        <v>54011</v>
      </c>
      <c r="B23" s="8">
        <f t="shared" si="0"/>
        <v>25.030136986301368</v>
      </c>
      <c r="C23" s="8">
        <v>3.6480999999999999</v>
      </c>
    </row>
    <row r="24" spans="1:3" x14ac:dyDescent="0.3">
      <c r="A24" s="6">
        <v>55838</v>
      </c>
      <c r="B24" s="8">
        <f t="shared" si="0"/>
        <v>30.035616438356165</v>
      </c>
      <c r="C24" s="8">
        <v>3.4790999999999999</v>
      </c>
    </row>
    <row r="25" spans="1:3" x14ac:dyDescent="0.3">
      <c r="A25" s="6">
        <v>59490</v>
      </c>
      <c r="B25" s="8">
        <f t="shared" si="0"/>
        <v>40.041095890410958</v>
      </c>
      <c r="C25" s="8">
        <v>3.1002999999999998</v>
      </c>
    </row>
    <row r="26" spans="1:3" x14ac:dyDescent="0.3">
      <c r="A26" s="6">
        <v>63143</v>
      </c>
      <c r="B26" s="8">
        <f t="shared" si="0"/>
        <v>50.049315068493151</v>
      </c>
      <c r="C26" s="8">
        <v>2.7440000000000002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228C5-C967-406B-8DD8-56934A3D402C}">
  <sheetPr codeName="Sheet3">
    <tabColor theme="6" tint="-0.249977111117893"/>
    <pageSetUpPr fitToPage="1"/>
  </sheetPr>
  <dimension ref="A1:X28"/>
  <sheetViews>
    <sheetView tabSelected="1" workbookViewId="0">
      <selection activeCell="J21" sqref="J21"/>
    </sheetView>
  </sheetViews>
  <sheetFormatPr defaultRowHeight="14.4" x14ac:dyDescent="0.3"/>
  <cols>
    <col min="1" max="1" width="5" customWidth="1"/>
    <col min="2" max="2" width="13.21875" customWidth="1"/>
    <col min="3" max="3" width="8.44140625" customWidth="1"/>
    <col min="4" max="5" width="9.109375" customWidth="1"/>
    <col min="6" max="24" width="7.6640625" customWidth="1"/>
  </cols>
  <sheetData>
    <row r="1" spans="1:24" x14ac:dyDescent="0.3">
      <c r="A1" s="1" t="s">
        <v>0</v>
      </c>
      <c r="B1" s="1" t="s">
        <v>1</v>
      </c>
      <c r="C1" s="1" t="s">
        <v>46</v>
      </c>
      <c r="D1" s="2" t="s">
        <v>2</v>
      </c>
      <c r="E1" s="2" t="s">
        <v>50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14">
        <v>60.88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</row>
    <row r="2" spans="1:24" x14ac:dyDescent="0.3">
      <c r="A2" s="3" t="s">
        <v>22</v>
      </c>
      <c r="B2" s="4">
        <v>44907</v>
      </c>
      <c r="C2" s="10">
        <f>YEARFRAC(DATE(2022,11,10),B2,3)</f>
        <v>8.7671232876712329E-2</v>
      </c>
      <c r="D2" s="5">
        <v>61.109000000000002</v>
      </c>
      <c r="E2" s="12">
        <f>($D2/$O$1)^(1/$C2)-1</f>
        <v>4.3754278059352947E-2</v>
      </c>
      <c r="F2" s="5">
        <f>BlackScholesCall($O$1,F$1,$C2,$E2,'Volatility table'!D2/100)</f>
        <v>30.55669872733317</v>
      </c>
      <c r="G2" s="5">
        <f>BlackScholesCall($O$1,G$1,$C2,$E2,'Volatility table'!E2/100)</f>
        <v>24.491270475750547</v>
      </c>
      <c r="H2" s="5">
        <f>BlackScholesCall($O$1,H$1,$C2,$E2,'Volatility table'!F2/100)</f>
        <v>18.432620773977121</v>
      </c>
      <c r="I2" s="5">
        <f>BlackScholesCall($O$1,I$1,$C2,$E2,'Volatility table'!G2/100)</f>
        <v>15.41724344784398</v>
      </c>
      <c r="J2" s="5">
        <f>BlackScholesCall($O$1,J$1,$C2,$E2,'Volatility table'!H2/100)</f>
        <v>12.417596696786894</v>
      </c>
      <c r="K2" s="5">
        <f>BlackScholesCall($O$1,K$1,$C2,$E2,'Volatility table'!I2/100)</f>
        <v>9.4418043946560957</v>
      </c>
      <c r="L2" s="5">
        <f>BlackScholesCall($O$1,L$1,$C2,$E2,'Volatility table'!J2/100)</f>
        <v>6.5470882101873826</v>
      </c>
      <c r="M2" s="5">
        <f>BlackScholesCall($O$1,M$1,$C2,$E2,'Volatility table'!K2/100)</f>
        <v>3.8046836240747268</v>
      </c>
      <c r="N2" s="5">
        <f>BlackScholesCall($O$1,N$1,$C2,$E2,'Volatility table'!L2/100)</f>
        <v>2.5620071240152171</v>
      </c>
      <c r="O2" s="5">
        <f>BlackScholesCall($O$1,O$1,$C2,$E2,'Volatility table'!M2/100)</f>
        <v>1.4797025999522369</v>
      </c>
      <c r="P2" s="5">
        <f>BlackScholesCall($O$1,P$1,$C2,$E2,'Volatility table'!N2/100)</f>
        <v>0.67303878378947246</v>
      </c>
      <c r="Q2" s="5">
        <f>BlackScholesCall($O$1,Q$1,$C2,$E2,'Volatility table'!O2/100)</f>
        <v>0.25791965823079011</v>
      </c>
      <c r="R2" s="5">
        <f>BlackScholesCall($O$1,R$1,$C2,$E2,'Volatility table'!P2/100)</f>
        <v>8.7665394922725959E-2</v>
      </c>
      <c r="S2" s="5">
        <f>BlackScholesCall($O$1,S$1,$C2,$E2,'Volatility table'!Q2/100)</f>
        <v>5.5095017422890802E-2</v>
      </c>
      <c r="T2" s="5">
        <f>BlackScholesCall($O$1,T$1,$C2,$E2,'Volatility table'!R2/100)</f>
        <v>3.6904047702224663E-2</v>
      </c>
      <c r="U2" s="5">
        <f>BlackScholesCall($O$1,U$1,$C2,$E2,'Volatility table'!S2/100)</f>
        <v>2.5142724067031663E-2</v>
      </c>
      <c r="V2" s="5">
        <f>BlackScholesCall($O$1,V$1,$C2,$E2,'Volatility table'!T2/100)</f>
        <v>1.7289312896690834E-2</v>
      </c>
      <c r="W2" s="5">
        <f>BlackScholesCall($O$1,W$1,$C2,$E2,'Volatility table'!U2/100)</f>
        <v>8.405901008918526E-3</v>
      </c>
      <c r="X2" s="5">
        <f>BlackScholesCall($O$1,X$1,$C2,$E2,'Volatility table'!V2/100)</f>
        <v>4.2699738742291854E-3</v>
      </c>
    </row>
    <row r="3" spans="1:24" x14ac:dyDescent="0.3">
      <c r="A3" s="3" t="s">
        <v>23</v>
      </c>
      <c r="B3" s="4">
        <v>44936</v>
      </c>
      <c r="C3" s="10">
        <f t="shared" ref="C3:C25" si="0">YEARFRAC(DATE(2022,11,10),B3,3)</f>
        <v>0.16712328767123288</v>
      </c>
      <c r="D3" s="5">
        <v>61.335000000000001</v>
      </c>
      <c r="E3" s="12">
        <f t="shared" ref="E3:E25" si="1">($D3/$O$1)^(1/$C3)-1</f>
        <v>4.5560922320187602E-2</v>
      </c>
      <c r="F3" s="5">
        <f>BlackScholesCall($O$1,F$1,$C3,$E3,'Volatility table'!D3/100)</f>
        <v>30.674931255553616</v>
      </c>
      <c r="G3" s="5">
        <f>BlackScholesCall($O$1,G$1,$C3,$E3,'Volatility table'!E3/100)</f>
        <v>24.64360307999403</v>
      </c>
      <c r="H3" s="5">
        <f>BlackScholesCall($O$1,H$1,$C3,$E3,'Volatility table'!F3/100)</f>
        <v>18.639241550986263</v>
      </c>
      <c r="I3" s="5">
        <f>BlackScholesCall($O$1,I$1,$C3,$E3,'Volatility table'!G3/100)</f>
        <v>15.664277488619796</v>
      </c>
      <c r="J3" s="5">
        <f>BlackScholesCall($O$1,J$1,$C3,$E3,'Volatility table'!H3/100)</f>
        <v>12.717192554625512</v>
      </c>
      <c r="K3" s="5">
        <f>BlackScholesCall($O$1,K$1,$C3,$E3,'Volatility table'!I3/100)</f>
        <v>9.807851804195451</v>
      </c>
      <c r="L3" s="5">
        <f>BlackScholesCall($O$1,L$1,$C3,$E3,'Volatility table'!J3/100)</f>
        <v>6.9916031295239733</v>
      </c>
      <c r="M3" s="5">
        <f>BlackScholesCall($O$1,M$1,$C3,$E3,'Volatility table'!K3/100)</f>
        <v>4.3377229171331919</v>
      </c>
      <c r="N3" s="5">
        <f>BlackScholesCall($O$1,N$1,$C3,$E3,'Volatility table'!L3/100)</f>
        <v>3.1399597199463543</v>
      </c>
      <c r="O3" s="5">
        <f>BlackScholesCall($O$1,O$1,$C3,$E3,'Volatility table'!M3/100)</f>
        <v>2.0901654740306483</v>
      </c>
      <c r="P3" s="5">
        <f>BlackScholesCall($O$1,P$1,$C3,$E3,'Volatility table'!N3/100)</f>
        <v>1.2571717026814646</v>
      </c>
      <c r="Q3" s="5">
        <f>BlackScholesCall($O$1,Q$1,$C3,$E3,'Volatility table'!O3/100)</f>
        <v>0.69226698235365092</v>
      </c>
      <c r="R3" s="5">
        <f>BlackScholesCall($O$1,R$1,$C3,$E3,'Volatility table'!P3/100)</f>
        <v>0.20631206140818481</v>
      </c>
      <c r="S3" s="5">
        <f>BlackScholesCall($O$1,S$1,$C3,$E3,'Volatility table'!Q3/100)</f>
        <v>7.5473765423933248E-2</v>
      </c>
      <c r="T3" s="5">
        <f>BlackScholesCall($O$1,T$1,$C3,$E3,'Volatility table'!R3/100)</f>
        <v>3.2815162125566122E-2</v>
      </c>
      <c r="U3" s="5">
        <f>BlackScholesCall($O$1,U$1,$C3,$E3,'Volatility table'!S3/100)</f>
        <v>1.6053214221909085E-2</v>
      </c>
      <c r="V3" s="5">
        <f>BlackScholesCall($O$1,V$1,$C3,$E3,'Volatility table'!T3/100)</f>
        <v>8.4475287442994929E-3</v>
      </c>
      <c r="W3" s="5">
        <f>BlackScholesCall($O$1,W$1,$C3,$E3,'Volatility table'!U3/100)</f>
        <v>2.6830525719468007E-3</v>
      </c>
      <c r="X3" s="5">
        <f>BlackScholesCall($O$1,X$1,$C3,$E3,'Volatility table'!V3/100)</f>
        <v>9.6618474098919896E-4</v>
      </c>
    </row>
    <row r="4" spans="1:24" x14ac:dyDescent="0.3">
      <c r="A4" s="3" t="s">
        <v>24</v>
      </c>
      <c r="B4" s="4">
        <v>44967</v>
      </c>
      <c r="C4" s="10">
        <f t="shared" si="0"/>
        <v>0.25205479452054796</v>
      </c>
      <c r="D4" s="5">
        <v>61.591000000000001</v>
      </c>
      <c r="E4" s="12">
        <f t="shared" si="1"/>
        <v>4.7143047588126041E-2</v>
      </c>
      <c r="F4" s="5">
        <f>BlackScholesCall($O$1,F$1,$C4,$E4,'Volatility table'!D4/100)</f>
        <v>30.810919777534096</v>
      </c>
      <c r="G4" s="5">
        <f>BlackScholesCall($O$1,G$1,$C4,$E4,'Volatility table'!E4/100)</f>
        <v>24.82048129106937</v>
      </c>
      <c r="H4" s="5">
        <f>BlackScholesCall($O$1,H$1,$C4,$E4,'Volatility table'!F4/100)</f>
        <v>18.877431188466545</v>
      </c>
      <c r="I4" s="5">
        <f>BlackScholesCall($O$1,I$1,$C4,$E4,'Volatility table'!G4/100)</f>
        <v>15.946188840616266</v>
      </c>
      <c r="J4" s="5">
        <f>BlackScholesCall($O$1,J$1,$C4,$E4,'Volatility table'!H4/100)</f>
        <v>13.056117799258033</v>
      </c>
      <c r="K4" s="5">
        <f>BlackScholesCall($O$1,K$1,$C4,$E4,'Volatility table'!I4/100)</f>
        <v>10.222355035644519</v>
      </c>
      <c r="L4" s="5">
        <f>BlackScholesCall($O$1,L$1,$C4,$E4,'Volatility table'!J4/100)</f>
        <v>7.5046656831290974</v>
      </c>
      <c r="M4" s="5">
        <f>BlackScholesCall($O$1,M$1,$C4,$E4,'Volatility table'!K4/100)</f>
        <v>4.9691778414136465</v>
      </c>
      <c r="N4" s="5">
        <f>BlackScholesCall($O$1,N$1,$C4,$E4,'Volatility table'!L4/100)</f>
        <v>3.8237372924782846</v>
      </c>
      <c r="O4" s="5">
        <f>BlackScholesCall($O$1,O$1,$C4,$E4,'Volatility table'!M4/100)</f>
        <v>2.7976371426339988</v>
      </c>
      <c r="P4" s="5">
        <f>BlackScholesCall($O$1,P$1,$C4,$E4,'Volatility table'!N4/100)</f>
        <v>1.9291106849062878</v>
      </c>
      <c r="Q4" s="5">
        <f>BlackScholesCall($O$1,Q$1,$C4,$E4,'Volatility table'!O4/100)</f>
        <v>1.2500128444515397</v>
      </c>
      <c r="R4" s="5">
        <f>BlackScholesCall($O$1,R$1,$C4,$E4,'Volatility table'!P4/100)</f>
        <v>0.45689901077779993</v>
      </c>
      <c r="S4" s="5">
        <f>BlackScholesCall($O$1,S$1,$C4,$E4,'Volatility table'!Q4/100)</f>
        <v>0.1667147375802811</v>
      </c>
      <c r="T4" s="5">
        <f>BlackScholesCall($O$1,T$1,$C4,$E4,'Volatility table'!R4/100)</f>
        <v>6.9747094768965567E-2</v>
      </c>
      <c r="U4" s="5">
        <f>BlackScholesCall($O$1,U$1,$C4,$E4,'Volatility table'!S4/100)</f>
        <v>3.3888522099706941E-2</v>
      </c>
      <c r="V4" s="5">
        <f>BlackScholesCall($O$1,V$1,$C4,$E4,'Volatility table'!T4/100)</f>
        <v>1.8300982561151868E-2</v>
      </c>
      <c r="W4" s="5">
        <f>BlackScholesCall($O$1,W$1,$C4,$E4,'Volatility table'!U4/100)</f>
        <v>6.4613330909378819E-3</v>
      </c>
      <c r="X4" s="5">
        <f>BlackScholesCall($O$1,X$1,$C4,$E4,'Volatility table'!V4/100)</f>
        <v>2.6611277759736734E-3</v>
      </c>
    </row>
    <row r="5" spans="1:24" x14ac:dyDescent="0.3">
      <c r="A5" s="3" t="s">
        <v>25</v>
      </c>
      <c r="B5" s="4">
        <v>44995</v>
      </c>
      <c r="C5" s="10">
        <f t="shared" si="0"/>
        <v>0.32876712328767121</v>
      </c>
      <c r="D5" s="5">
        <v>61.83</v>
      </c>
      <c r="E5" s="12">
        <f t="shared" si="1"/>
        <v>4.8223760953476136E-2</v>
      </c>
      <c r="F5" s="5">
        <f>BlackScholesCall($O$1,F$1,$C5,$E5,'Volatility table'!D5/100)</f>
        <v>30.937313582949237</v>
      </c>
      <c r="G5" s="5">
        <f>BlackScholesCall($O$1,G$1,$C5,$E5,'Volatility table'!E5/100)</f>
        <v>24.984354653891266</v>
      </c>
      <c r="H5" s="5">
        <f>BlackScholesCall($O$1,H$1,$C5,$E5,'Volatility table'!F5/100)</f>
        <v>19.096065244590569</v>
      </c>
      <c r="I5" s="5">
        <f>BlackScholesCall($O$1,I$1,$C5,$E5,'Volatility table'!G5/100)</f>
        <v>16.202991659562628</v>
      </c>
      <c r="J5" s="5">
        <f>BlackScholesCall($O$1,J$1,$C5,$E5,'Volatility table'!H5/100)</f>
        <v>13.36155274074077</v>
      </c>
      <c r="K5" s="5">
        <f>BlackScholesCall($O$1,K$1,$C5,$E5,'Volatility table'!I5/100)</f>
        <v>10.589652355302377</v>
      </c>
      <c r="L5" s="5">
        <f>BlackScholesCall($O$1,L$1,$C5,$E5,'Volatility table'!J5/100)</f>
        <v>7.9466872027688851</v>
      </c>
      <c r="M5" s="5">
        <f>BlackScholesCall($O$1,M$1,$C5,$E5,'Volatility table'!K5/100)</f>
        <v>5.4883560365756594</v>
      </c>
      <c r="N5" s="5">
        <f>BlackScholesCall($O$1,N$1,$C5,$E5,'Volatility table'!L5/100)</f>
        <v>4.3702986978924656</v>
      </c>
      <c r="O5" s="5">
        <f>BlackScholesCall($O$1,O$1,$C5,$E5,'Volatility table'!M5/100)</f>
        <v>3.3512385109290754</v>
      </c>
      <c r="P5" s="5">
        <f>BlackScholesCall($O$1,P$1,$C5,$E5,'Volatility table'!N5/100)</f>
        <v>2.4567420417240911</v>
      </c>
      <c r="Q5" s="5">
        <f>BlackScholesCall($O$1,Q$1,$C5,$E5,'Volatility table'!O5/100)</f>
        <v>1.7125215164607042</v>
      </c>
      <c r="R5" s="5">
        <f>BlackScholesCall($O$1,R$1,$C5,$E5,'Volatility table'!P5/100)</f>
        <v>0.72248699526964621</v>
      </c>
      <c r="S5" s="5">
        <f>BlackScholesCall($O$1,S$1,$C5,$E5,'Volatility table'!Q5/100)</f>
        <v>0.28760619956256228</v>
      </c>
      <c r="T5" s="5">
        <f>BlackScholesCall($O$1,T$1,$C5,$E5,'Volatility table'!R5/100)</f>
        <v>0.12883834591921728</v>
      </c>
      <c r="U5" s="5">
        <f>BlackScholesCall($O$1,U$1,$C5,$E5,'Volatility table'!S5/100)</f>
        <v>6.8724698551056562E-2</v>
      </c>
      <c r="V5" s="5">
        <f>BlackScholesCall($O$1,V$1,$C5,$E5,'Volatility table'!T5/100)</f>
        <v>4.1692777689166904E-2</v>
      </c>
      <c r="W5" s="5">
        <f>BlackScholesCall($O$1,W$1,$C5,$E5,'Volatility table'!U5/100)</f>
        <v>1.8972925559469167E-2</v>
      </c>
      <c r="X5" s="5">
        <f>BlackScholesCall($O$1,X$1,$C5,$E5,'Volatility table'!V5/100)</f>
        <v>9.9866765603318086E-3</v>
      </c>
    </row>
    <row r="6" spans="1:24" x14ac:dyDescent="0.3">
      <c r="A6" s="3" t="s">
        <v>26</v>
      </c>
      <c r="B6" s="4">
        <v>45026</v>
      </c>
      <c r="C6" s="10">
        <f t="shared" si="0"/>
        <v>0.41369863013698632</v>
      </c>
      <c r="D6" s="5">
        <v>62.1</v>
      </c>
      <c r="E6" s="12">
        <f t="shared" si="1"/>
        <v>4.9129422448755733E-2</v>
      </c>
      <c r="F6" s="5">
        <f>BlackScholesCall($O$1,F$1,$C6,$E6,'Volatility table'!D6/100)</f>
        <v>31.077919429987343</v>
      </c>
      <c r="G6" s="5">
        <f>BlackScholesCall($O$1,G$1,$C6,$E6,'Volatility table'!E6/100)</f>
        <v>25.165663973515024</v>
      </c>
      <c r="H6" s="5">
        <f>BlackScholesCall($O$1,H$1,$C6,$E6,'Volatility table'!F6/100)</f>
        <v>19.336316000247429</v>
      </c>
      <c r="I6" s="5">
        <f>BlackScholesCall($O$1,I$1,$C6,$E6,'Volatility table'!G6/100)</f>
        <v>16.483699919956912</v>
      </c>
      <c r="J6" s="5">
        <f>BlackScholesCall($O$1,J$1,$C6,$E6,'Volatility table'!H6/100)</f>
        <v>13.692417358865455</v>
      </c>
      <c r="K6" s="5">
        <f>BlackScholesCall($O$1,K$1,$C6,$E6,'Volatility table'!I6/100)</f>
        <v>10.981202784360988</v>
      </c>
      <c r="L6" s="5">
        <f>BlackScholesCall($O$1,L$1,$C6,$E6,'Volatility table'!J6/100)</f>
        <v>8.4058528323899253</v>
      </c>
      <c r="M6" s="5">
        <f>BlackScholesCall($O$1,M$1,$C6,$E6,'Volatility table'!K6/100)</f>
        <v>6.0097375118391767</v>
      </c>
      <c r="N6" s="5">
        <f>BlackScholesCall($O$1,N$1,$C6,$E6,'Volatility table'!L6/100)</f>
        <v>4.911086534932096</v>
      </c>
      <c r="O6" s="5">
        <f>BlackScholesCall($O$1,O$1,$C6,$E6,'Volatility table'!M6/100)</f>
        <v>3.8948928672240584</v>
      </c>
      <c r="P6" s="5">
        <f>BlackScholesCall($O$1,P$1,$C6,$E6,'Volatility table'!N6/100)</f>
        <v>2.978635670805307</v>
      </c>
      <c r="Q6" s="5">
        <f>BlackScholesCall($O$1,Q$1,$C6,$E6,'Volatility table'!O6/100)</f>
        <v>2.181728344222055</v>
      </c>
      <c r="R6" s="5">
        <f>BlackScholesCall($O$1,R$1,$C6,$E6,'Volatility table'!P6/100)</f>
        <v>1.0129707301875293</v>
      </c>
      <c r="S6" s="5">
        <f>BlackScholesCall($O$1,S$1,$C6,$E6,'Volatility table'!Q6/100)</f>
        <v>0.42499292029874436</v>
      </c>
      <c r="T6" s="5">
        <f>BlackScholesCall($O$1,T$1,$C6,$E6,'Volatility table'!R6/100)</f>
        <v>0.20440338416075932</v>
      </c>
      <c r="U6" s="5">
        <f>BlackScholesCall($O$1,U$1,$C6,$E6,'Volatility table'!S6/100)</f>
        <v>0.12156212781089737</v>
      </c>
      <c r="V6" s="5">
        <f>BlackScholesCall($O$1,V$1,$C6,$E6,'Volatility table'!T6/100)</f>
        <v>8.2099625462775494E-2</v>
      </c>
      <c r="W6" s="5">
        <f>BlackScholesCall($O$1,W$1,$C6,$E6,'Volatility table'!U6/100)</f>
        <v>4.4284283971234628E-2</v>
      </c>
      <c r="X6" s="5">
        <f>BlackScholesCall($O$1,X$1,$C6,$E6,'Volatility table'!V6/100)</f>
        <v>2.6432041990764432E-2</v>
      </c>
    </row>
    <row r="7" spans="1:24" x14ac:dyDescent="0.3">
      <c r="A7" s="3" t="s">
        <v>27</v>
      </c>
      <c r="B7" s="4">
        <v>45056</v>
      </c>
      <c r="C7" s="10">
        <f t="shared" si="0"/>
        <v>0.49589041095890413</v>
      </c>
      <c r="D7" s="5">
        <v>62.366</v>
      </c>
      <c r="E7" s="12">
        <f t="shared" si="1"/>
        <v>4.9832668534462554E-2</v>
      </c>
      <c r="F7" s="5">
        <f>BlackScholesCall($O$1,F$1,$C7,$E7,'Volatility table'!D7/100)</f>
        <v>31.221502459942958</v>
      </c>
      <c r="G7" s="5">
        <f>BlackScholesCall($O$1,G$1,$C7,$E7,'Volatility table'!E7/100)</f>
        <v>25.356805828029863</v>
      </c>
      <c r="H7" s="5">
        <f>BlackScholesCall($O$1,H$1,$C7,$E7,'Volatility table'!F7/100)</f>
        <v>19.595967891065975</v>
      </c>
      <c r="I7" s="5">
        <f>BlackScholesCall($O$1,I$1,$C7,$E7,'Volatility table'!G7/100)</f>
        <v>16.78810836167257</v>
      </c>
      <c r="J7" s="5">
        <f>BlackScholesCall($O$1,J$1,$C7,$E7,'Volatility table'!H7/100)</f>
        <v>14.049111104424838</v>
      </c>
      <c r="K7" s="5">
        <f>BlackScholesCall($O$1,K$1,$C7,$E7,'Volatility table'!I7/100)</f>
        <v>11.39667655956422</v>
      </c>
      <c r="L7" s="5">
        <f>BlackScholesCall($O$1,L$1,$C7,$E7,'Volatility table'!J7/100)</f>
        <v>8.8810864762582682</v>
      </c>
      <c r="M7" s="5">
        <f>BlackScholesCall($O$1,M$1,$C7,$E7,'Volatility table'!K7/100)</f>
        <v>6.5339537599663018</v>
      </c>
      <c r="N7" s="5">
        <f>BlackScholesCall($O$1,N$1,$C7,$E7,'Volatility table'!L7/100)</f>
        <v>5.448463611404577</v>
      </c>
      <c r="O7" s="5">
        <f>BlackScholesCall($O$1,O$1,$C7,$E7,'Volatility table'!M7/100)</f>
        <v>4.4322819039793515</v>
      </c>
      <c r="P7" s="5">
        <f>BlackScholesCall($O$1,P$1,$C7,$E7,'Volatility table'!N7/100)</f>
        <v>3.4972430700279276</v>
      </c>
      <c r="Q7" s="5">
        <f>BlackScholesCall($O$1,Q$1,$C7,$E7,'Volatility table'!O7/100)</f>
        <v>2.6572738479663585</v>
      </c>
      <c r="R7" s="5">
        <f>BlackScholesCall($O$1,R$1,$C7,$E7,'Volatility table'!P7/100)</f>
        <v>1.3348551849418619</v>
      </c>
      <c r="S7" s="5">
        <f>BlackScholesCall($O$1,S$1,$C7,$E7,'Volatility table'!Q7/100)</f>
        <v>0.63252993309941807</v>
      </c>
      <c r="T7" s="5">
        <f>BlackScholesCall($O$1,T$1,$C7,$E7,'Volatility table'!R7/100)</f>
        <v>0.34432770861465833</v>
      </c>
      <c r="U7" s="5">
        <f>BlackScholesCall($O$1,U$1,$C7,$E7,'Volatility table'!S7/100)</f>
        <v>0.20524998958416152</v>
      </c>
      <c r="V7" s="5">
        <f>BlackScholesCall($O$1,V$1,$C7,$E7,'Volatility table'!T7/100)</f>
        <v>0.12878952572145597</v>
      </c>
      <c r="W7" s="5">
        <f>BlackScholesCall($O$1,W$1,$C7,$E7,'Volatility table'!U7/100)</f>
        <v>5.5502194874512245E-2</v>
      </c>
      <c r="X7" s="5">
        <f>BlackScholesCall($O$1,X$1,$C7,$E7,'Volatility table'!V7/100)</f>
        <v>2.5994260763901322E-2</v>
      </c>
    </row>
    <row r="8" spans="1:24" x14ac:dyDescent="0.3">
      <c r="A8" s="3" t="s">
        <v>28</v>
      </c>
      <c r="B8" s="4">
        <v>45089</v>
      </c>
      <c r="C8" s="10">
        <f t="shared" si="0"/>
        <v>0.58630136986301373</v>
      </c>
      <c r="D8" s="5">
        <v>62.661000000000001</v>
      </c>
      <c r="E8" s="12">
        <f t="shared" si="1"/>
        <v>5.0409818798251793E-2</v>
      </c>
      <c r="F8" s="5">
        <f>BlackScholesCall($O$1,F$1,$C8,$E8,'Volatility table'!D8/100)</f>
        <v>31.391534706919039</v>
      </c>
      <c r="G8" s="5">
        <f>BlackScholesCall($O$1,G$1,$C8,$E8,'Volatility table'!E8/100)</f>
        <v>25.588299560802184</v>
      </c>
      <c r="H8" s="5">
        <f>BlackScholesCall($O$1,H$1,$C8,$E8,'Volatility table'!F8/100)</f>
        <v>19.908981139670018</v>
      </c>
      <c r="I8" s="5">
        <f>BlackScholesCall($O$1,I$1,$C8,$E8,'Volatility table'!G8/100)</f>
        <v>17.149039316727688</v>
      </c>
      <c r="J8" s="5">
        <f>BlackScholesCall($O$1,J$1,$C8,$E8,'Volatility table'!H8/100)</f>
        <v>14.461224109814538</v>
      </c>
      <c r="K8" s="5">
        <f>BlackScholesCall($O$1,K$1,$C8,$E8,'Volatility table'!I8/100)</f>
        <v>11.860250912687462</v>
      </c>
      <c r="L8" s="5">
        <f>BlackScholesCall($O$1,L$1,$C8,$E8,'Volatility table'!J8/100)</f>
        <v>9.3905875254065165</v>
      </c>
      <c r="M8" s="5">
        <f>BlackScholesCall($O$1,M$1,$C8,$E8,'Volatility table'!K8/100)</f>
        <v>7.0753626338538353</v>
      </c>
      <c r="N8" s="5">
        <f>BlackScholesCall($O$1,N$1,$C8,$E8,'Volatility table'!L8/100)</f>
        <v>5.9960134007224823</v>
      </c>
      <c r="O8" s="5">
        <f>BlackScholesCall($O$1,O$1,$C8,$E8,'Volatility table'!M8/100)</f>
        <v>4.9759133727461595</v>
      </c>
      <c r="P8" s="5">
        <f>BlackScholesCall($O$1,P$1,$C8,$E8,'Volatility table'!N8/100)</f>
        <v>4.023796313978508</v>
      </c>
      <c r="Q8" s="5">
        <f>BlackScholesCall($O$1,Q$1,$C8,$E8,'Volatility table'!O8/100)</f>
        <v>3.1496598632652351</v>
      </c>
      <c r="R8" s="5">
        <f>BlackScholesCall($O$1,R$1,$C8,$E8,'Volatility table'!P8/100)</f>
        <v>1.6918625879175444</v>
      </c>
      <c r="S8" s="5">
        <f>BlackScholesCall($O$1,S$1,$C8,$E8,'Volatility table'!Q8/100)</f>
        <v>0.92671126408384907</v>
      </c>
      <c r="T8" s="5">
        <f>BlackScholesCall($O$1,T$1,$C8,$E8,'Volatility table'!R8/100)</f>
        <v>0.55232675696345979</v>
      </c>
      <c r="U8" s="5">
        <f>BlackScholesCall($O$1,U$1,$C8,$E8,'Volatility table'!S8/100)</f>
        <v>0.33004483391693373</v>
      </c>
      <c r="V8" s="5">
        <f>BlackScholesCall($O$1,V$1,$C8,$E8,'Volatility table'!T8/100)</f>
        <v>0.19713783481641833</v>
      </c>
      <c r="W8" s="5">
        <f>BlackScholesCall($O$1,W$1,$C8,$E8,'Volatility table'!U8/100)</f>
        <v>7.0645299632843273E-2</v>
      </c>
      <c r="X8" s="5">
        <f>BlackScholesCall($O$1,X$1,$C8,$E8,'Volatility table'!V8/100)</f>
        <v>2.5819206171822984E-2</v>
      </c>
    </row>
    <row r="9" spans="1:24" x14ac:dyDescent="0.3">
      <c r="A9" s="3" t="s">
        <v>29</v>
      </c>
      <c r="B9" s="4">
        <v>45117</v>
      </c>
      <c r="C9" s="10">
        <f t="shared" si="0"/>
        <v>0.66301369863013704</v>
      </c>
      <c r="D9" s="5">
        <v>62.911999999999999</v>
      </c>
      <c r="E9" s="12">
        <f t="shared" si="1"/>
        <v>5.0766246969585982E-2</v>
      </c>
      <c r="F9" s="5">
        <f>BlackScholesCall($O$1,F$1,$C9,$E9,'Volatility table'!D9/100)</f>
        <v>31.522550303656139</v>
      </c>
      <c r="G9" s="5">
        <f>BlackScholesCall($O$1,G$1,$C9,$E9,'Volatility table'!E9/100)</f>
        <v>25.7577912509256</v>
      </c>
      <c r="H9" s="5">
        <f>BlackScholesCall($O$1,H$1,$C9,$E9,'Volatility table'!F9/100)</f>
        <v>20.128962241056378</v>
      </c>
      <c r="I9" s="5">
        <f>BlackScholesCall($O$1,I$1,$C9,$E9,'Volatility table'!G9/100)</f>
        <v>17.400128479189959</v>
      </c>
      <c r="J9" s="5">
        <f>BlackScholesCall($O$1,J$1,$C9,$E9,'Volatility table'!H9/100)</f>
        <v>14.747705547536505</v>
      </c>
      <c r="K9" s="5">
        <f>BlackScholesCall($O$1,K$1,$C9,$E9,'Volatility table'!I9/100)</f>
        <v>12.186491478751236</v>
      </c>
      <c r="L9" s="5">
        <f>BlackScholesCall($O$1,L$1,$C9,$E9,'Volatility table'!J9/100)</f>
        <v>9.7595035784320601</v>
      </c>
      <c r="M9" s="5">
        <f>BlackScholesCall($O$1,M$1,$C9,$E9,'Volatility table'!K9/100)</f>
        <v>7.4870295538561251</v>
      </c>
      <c r="N9" s="5">
        <f>BlackScholesCall($O$1,N$1,$C9,$E9,'Volatility table'!L9/100)</f>
        <v>6.4272983706742295</v>
      </c>
      <c r="O9" s="5">
        <f>BlackScholesCall($O$1,O$1,$C9,$E9,'Volatility table'!M9/100)</f>
        <v>5.4243086075400946</v>
      </c>
      <c r="P9" s="5">
        <f>BlackScholesCall($O$1,P$1,$C9,$E9,'Volatility table'!N9/100)</f>
        <v>4.4851483763510842</v>
      </c>
      <c r="Q9" s="5">
        <f>BlackScholesCall($O$1,Q$1,$C9,$E9,'Volatility table'!O9/100)</f>
        <v>3.6169947972228513</v>
      </c>
      <c r="R9" s="5">
        <f>BlackScholesCall($O$1,R$1,$C9,$E9,'Volatility table'!P9/100)</f>
        <v>2.1297833694192683</v>
      </c>
      <c r="S9" s="5">
        <f>BlackScholesCall($O$1,S$1,$C9,$E9,'Volatility table'!Q9/100)</f>
        <v>1.1330747507296071</v>
      </c>
      <c r="T9" s="5">
        <f>BlackScholesCall($O$1,T$1,$C9,$E9,'Volatility table'!R9/100)</f>
        <v>0.64970796110198492</v>
      </c>
      <c r="U9" s="5">
        <f>BlackScholesCall($O$1,U$1,$C9,$E9,'Volatility table'!S9/100)</f>
        <v>0.40207788303859626</v>
      </c>
      <c r="V9" s="5">
        <f>BlackScholesCall($O$1,V$1,$C9,$E9,'Volatility table'!T9/100)</f>
        <v>0.25152807470060923</v>
      </c>
      <c r="W9" s="5">
        <f>BlackScholesCall($O$1,W$1,$C9,$E9,'Volatility table'!U9/100)</f>
        <v>0.10036142764057576</v>
      </c>
      <c r="X9" s="5">
        <f>BlackScholesCall($O$1,X$1,$C9,$E9,'Volatility table'!V9/100)</f>
        <v>4.1290755144909652E-2</v>
      </c>
    </row>
    <row r="10" spans="1:24" x14ac:dyDescent="0.3">
      <c r="A10" s="3" t="s">
        <v>30</v>
      </c>
      <c r="B10" s="4">
        <v>45148</v>
      </c>
      <c r="C10" s="10">
        <f t="shared" si="0"/>
        <v>0.74794520547945209</v>
      </c>
      <c r="D10" s="5">
        <v>63.19</v>
      </c>
      <c r="E10" s="12">
        <f t="shared" si="1"/>
        <v>5.1051976324163695E-2</v>
      </c>
      <c r="F10" s="5">
        <f>BlackScholesCall($O$1,F$1,$C10,$E10,'Volatility table'!D10/100)</f>
        <v>31.675999401907344</v>
      </c>
      <c r="G10" s="5">
        <f>BlackScholesCall($O$1,G$1,$C10,$E10,'Volatility table'!E10/100)</f>
        <v>25.959175744577195</v>
      </c>
      <c r="H10" s="5">
        <f>BlackScholesCall($O$1,H$1,$C10,$E10,'Volatility table'!F10/100)</f>
        <v>20.388147400321778</v>
      </c>
      <c r="I10" s="5">
        <f>BlackScholesCall($O$1,I$1,$C10,$E10,'Volatility table'!G10/100)</f>
        <v>17.690988501695536</v>
      </c>
      <c r="J10" s="5">
        <f>BlackScholesCall($O$1,J$1,$C10,$E10,'Volatility table'!H10/100)</f>
        <v>15.071025965325155</v>
      </c>
      <c r="K10" s="5">
        <f>BlackScholesCall($O$1,K$1,$C10,$E10,'Volatility table'!I10/100)</f>
        <v>12.541453967399619</v>
      </c>
      <c r="L10" s="5">
        <f>BlackScholesCall($O$1,L$1,$C10,$E10,'Volatility table'!J10/100)</f>
        <v>10.14274932808209</v>
      </c>
      <c r="M10" s="5">
        <f>BlackScholesCall($O$1,M$1,$C10,$E10,'Volatility table'!K10/100)</f>
        <v>7.8915483690237807</v>
      </c>
      <c r="N10" s="5">
        <f>BlackScholesCall($O$1,N$1,$C10,$E10,'Volatility table'!L10/100)</f>
        <v>6.8381201850643833</v>
      </c>
      <c r="O10" s="5">
        <f>BlackScholesCall($O$1,O$1,$C10,$E10,'Volatility table'!M10/100)</f>
        <v>5.8379107146091975</v>
      </c>
      <c r="P10" s="5">
        <f>BlackScholesCall($O$1,P$1,$C10,$E10,'Volatility table'!N10/100)</f>
        <v>4.8964287024574347</v>
      </c>
      <c r="Q10" s="5">
        <f>BlackScholesCall($O$1,Q$1,$C10,$E10,'Volatility table'!O10/100)</f>
        <v>4.0203096555912516</v>
      </c>
      <c r="R10" s="5">
        <f>BlackScholesCall($O$1,R$1,$C10,$E10,'Volatility table'!P10/100)</f>
        <v>2.4906570894738493</v>
      </c>
      <c r="S10" s="5">
        <f>BlackScholesCall($O$1,S$1,$C10,$E10,'Volatility table'!Q10/100)</f>
        <v>1.3466838359686708</v>
      </c>
      <c r="T10" s="5">
        <f>BlackScholesCall($O$1,T$1,$C10,$E10,'Volatility table'!R10/100)</f>
        <v>0.79259315675486164</v>
      </c>
      <c r="U10" s="5">
        <f>BlackScholesCall($O$1,U$1,$C10,$E10,'Volatility table'!S10/100)</f>
        <v>0.50426831228116331</v>
      </c>
      <c r="V10" s="5">
        <f>BlackScholesCall($O$1,V$1,$C10,$E10,'Volatility table'!T10/100)</f>
        <v>0.32410257014919885</v>
      </c>
      <c r="W10" s="5">
        <f>BlackScholesCall($O$1,W$1,$C10,$E10,'Volatility table'!U10/100)</f>
        <v>0.13599211894422769</v>
      </c>
      <c r="X10" s="5">
        <f>BlackScholesCall($O$1,X$1,$C10,$E10,'Volatility table'!V10/100)</f>
        <v>5.8542803204513438E-2</v>
      </c>
    </row>
    <row r="11" spans="1:24" x14ac:dyDescent="0.3">
      <c r="A11" s="3" t="s">
        <v>31</v>
      </c>
      <c r="B11" s="4">
        <v>45180</v>
      </c>
      <c r="C11" s="10">
        <f t="shared" si="0"/>
        <v>0.83561643835616439</v>
      </c>
      <c r="D11" s="5">
        <v>63.472999999999999</v>
      </c>
      <c r="E11" s="12">
        <f t="shared" si="1"/>
        <v>5.1181881202305712E-2</v>
      </c>
      <c r="F11" s="5">
        <f>BlackScholesCall($O$1,F$1,$C11,$E11,'Volatility table'!D11/100)</f>
        <v>31.841475974679849</v>
      </c>
      <c r="G11" s="5">
        <f>BlackScholesCall($O$1,G$1,$C11,$E11,'Volatility table'!E11/100)</f>
        <v>26.17798955551546</v>
      </c>
      <c r="H11" s="5">
        <f>BlackScholesCall($O$1,H$1,$C11,$E11,'Volatility table'!F11/100)</f>
        <v>20.666797783515229</v>
      </c>
      <c r="I11" s="5">
        <f>BlackScholesCall($O$1,I$1,$C11,$E11,'Volatility table'!G11/100)</f>
        <v>17.999732130404844</v>
      </c>
      <c r="J11" s="5">
        <f>BlackScholesCall($O$1,J$1,$C11,$E11,'Volatility table'!H11/100)</f>
        <v>15.407948557860131</v>
      </c>
      <c r="K11" s="5">
        <f>BlackScholesCall($O$1,K$1,$C11,$E11,'Volatility table'!I11/100)</f>
        <v>12.902486524903672</v>
      </c>
      <c r="L11" s="5">
        <f>BlackScholesCall($O$1,L$1,$C11,$E11,'Volatility table'!J11/100)</f>
        <v>10.520457136677877</v>
      </c>
      <c r="M11" s="5">
        <f>BlackScholesCall($O$1,M$1,$C11,$E11,'Volatility table'!K11/100)</f>
        <v>8.2753658980166236</v>
      </c>
      <c r="N11" s="5">
        <f>BlackScholesCall($O$1,N$1,$C11,$E11,'Volatility table'!L11/100)</f>
        <v>7.2195051133301789</v>
      </c>
      <c r="O11" s="5">
        <f>BlackScholesCall($O$1,O$1,$C11,$E11,'Volatility table'!M11/100)</f>
        <v>6.2125734384271851</v>
      </c>
      <c r="P11" s="5">
        <f>BlackScholesCall($O$1,P$1,$C11,$E11,'Volatility table'!N11/100)</f>
        <v>5.2592951881836001</v>
      </c>
      <c r="Q11" s="5">
        <f>BlackScholesCall($O$1,Q$1,$C11,$E11,'Volatility table'!O11/100)</f>
        <v>4.366028412246429</v>
      </c>
      <c r="R11" s="5">
        <f>BlackScholesCall($O$1,R$1,$C11,$E11,'Volatility table'!P11/100)</f>
        <v>2.782959470381158</v>
      </c>
      <c r="S11" s="5">
        <f>BlackScholesCall($O$1,S$1,$C11,$E11,'Volatility table'!Q11/100)</f>
        <v>1.5643888803983863</v>
      </c>
      <c r="T11" s="5">
        <f>BlackScholesCall($O$1,T$1,$C11,$E11,'Volatility table'!R11/100)</f>
        <v>0.97403053394478079</v>
      </c>
      <c r="U11" s="5">
        <f>BlackScholesCall($O$1,U$1,$C11,$E11,'Volatility table'!S11/100)</f>
        <v>0.63343075969907492</v>
      </c>
      <c r="V11" s="5">
        <f>BlackScholesCall($O$1,V$1,$C11,$E11,'Volatility table'!T11/100)</f>
        <v>0.41267302475146472</v>
      </c>
      <c r="W11" s="5">
        <f>BlackScholesCall($O$1,W$1,$C11,$E11,'Volatility table'!U11/100)</f>
        <v>0.17506436033640105</v>
      </c>
      <c r="X11" s="5">
        <f>BlackScholesCall($O$1,X$1,$C11,$E11,'Volatility table'!V11/100)</f>
        <v>7.5029941058306848E-2</v>
      </c>
    </row>
    <row r="12" spans="1:24" x14ac:dyDescent="0.3">
      <c r="A12" s="3" t="s">
        <v>32</v>
      </c>
      <c r="B12" s="4">
        <v>45209</v>
      </c>
      <c r="C12" s="10">
        <f t="shared" si="0"/>
        <v>0.91506849315068495</v>
      </c>
      <c r="D12" s="5">
        <v>63.725999999999999</v>
      </c>
      <c r="E12" s="12">
        <f t="shared" si="1"/>
        <v>5.1195854781055816E-2</v>
      </c>
      <c r="F12" s="5">
        <f>BlackScholesCall($O$1,F$1,$C12,$E12,'Volatility table'!D12/100)</f>
        <v>31.991751647243355</v>
      </c>
      <c r="G12" s="5">
        <f>BlackScholesCall($O$1,G$1,$C12,$E12,'Volatility table'!E12/100)</f>
        <v>26.375420505784597</v>
      </c>
      <c r="H12" s="5">
        <f>BlackScholesCall($O$1,H$1,$C12,$E12,'Volatility table'!F12/100)</f>
        <v>20.915547011347812</v>
      </c>
      <c r="I12" s="5">
        <f>BlackScholesCall($O$1,I$1,$C12,$E12,'Volatility table'!G12/100)</f>
        <v>18.273686785825632</v>
      </c>
      <c r="J12" s="5">
        <f>BlackScholesCall($O$1,J$1,$C12,$E12,'Volatility table'!H12/100)</f>
        <v>15.705150945136495</v>
      </c>
      <c r="K12" s="5">
        <f>BlackScholesCall($O$1,K$1,$C12,$E12,'Volatility table'!I12/100)</f>
        <v>13.219141962310076</v>
      </c>
      <c r="L12" s="5">
        <f>BlackScholesCall($O$1,L$1,$C12,$E12,'Volatility table'!J12/100)</f>
        <v>10.850562930894775</v>
      </c>
      <c r="M12" s="5">
        <f>BlackScholesCall($O$1,M$1,$C12,$E12,'Volatility table'!K12/100)</f>
        <v>8.6099967247485552</v>
      </c>
      <c r="N12" s="5">
        <f>BlackScholesCall($O$1,N$1,$C12,$E12,'Volatility table'!L12/100)</f>
        <v>7.552155861508723</v>
      </c>
      <c r="O12" s="5">
        <f>BlackScholesCall($O$1,O$1,$C12,$E12,'Volatility table'!M12/100)</f>
        <v>6.5396080435685384</v>
      </c>
      <c r="P12" s="5">
        <f>BlackScholesCall($O$1,P$1,$C12,$E12,'Volatility table'!N12/100)</f>
        <v>5.5768213846770998</v>
      </c>
      <c r="Q12" s="5">
        <f>BlackScholesCall($O$1,Q$1,$C12,$E12,'Volatility table'!O12/100)</f>
        <v>4.6695321873014457</v>
      </c>
      <c r="R12" s="5">
        <f>BlackScholesCall($O$1,R$1,$C12,$E12,'Volatility table'!P12/100)</f>
        <v>3.0433082757290819</v>
      </c>
      <c r="S12" s="5">
        <f>BlackScholesCall($O$1,S$1,$C12,$E12,'Volatility table'!Q12/100)</f>
        <v>1.7631554212406506</v>
      </c>
      <c r="T12" s="5">
        <f>BlackScholesCall($O$1,T$1,$C12,$E12,'Volatility table'!R12/100)</f>
        <v>1.1442984218163978</v>
      </c>
      <c r="U12" s="5">
        <f>BlackScholesCall($O$1,U$1,$C12,$E12,'Volatility table'!S12/100)</f>
        <v>0.75791278430843789</v>
      </c>
      <c r="V12" s="5">
        <f>BlackScholesCall($O$1,V$1,$C12,$E12,'Volatility table'!T12/100)</f>
        <v>0.50003060643003394</v>
      </c>
      <c r="W12" s="5">
        <f>BlackScholesCall($O$1,W$1,$C12,$E12,'Volatility table'!U12/100)</f>
        <v>0.21514266517706959</v>
      </c>
      <c r="X12" s="5">
        <f>BlackScholesCall($O$1,X$1,$C12,$E12,'Volatility table'!V12/100)</f>
        <v>9.2241570423882369E-2</v>
      </c>
    </row>
    <row r="13" spans="1:24" x14ac:dyDescent="0.3">
      <c r="A13" s="3" t="s">
        <v>33</v>
      </c>
      <c r="B13" s="4">
        <v>45240</v>
      </c>
      <c r="C13" s="10">
        <f t="shared" si="0"/>
        <v>1</v>
      </c>
      <c r="D13" s="5">
        <v>63.993000000000002</v>
      </c>
      <c r="E13" s="12">
        <f t="shared" si="1"/>
        <v>5.1133377135348157E-2</v>
      </c>
      <c r="F13" s="5">
        <f>BlackScholesCall($O$1,F$1,$C13,$E13,'Volatility table'!D13/100)</f>
        <v>32.152435500788073</v>
      </c>
      <c r="G13" s="5">
        <f>BlackScholesCall($O$1,G$1,$C13,$E13,'Volatility table'!E13/100)</f>
        <v>26.58520377296626</v>
      </c>
      <c r="H13" s="5">
        <f>BlackScholesCall($O$1,H$1,$C13,$E13,'Volatility table'!F13/100)</f>
        <v>21.177320119232959</v>
      </c>
      <c r="I13" s="5">
        <f>BlackScholesCall($O$1,I$1,$C13,$E13,'Volatility table'!G13/100)</f>
        <v>18.560487054492356</v>
      </c>
      <c r="J13" s="5">
        <f>BlackScholesCall($O$1,J$1,$C13,$E13,'Volatility table'!H13/100)</f>
        <v>16.014605446004474</v>
      </c>
      <c r="K13" s="5">
        <f>BlackScholesCall($O$1,K$1,$C13,$E13,'Volatility table'!I13/100)</f>
        <v>13.547538936955426</v>
      </c>
      <c r="L13" s="5">
        <f>BlackScholesCall($O$1,L$1,$C13,$E13,'Volatility table'!J13/100)</f>
        <v>11.191611186499124</v>
      </c>
      <c r="M13" s="5">
        <f>BlackScholesCall($O$1,M$1,$C13,$E13,'Volatility table'!K13/100)</f>
        <v>8.9551598861757071</v>
      </c>
      <c r="N13" s="5">
        <f>BlackScholesCall($O$1,N$1,$C13,$E13,'Volatility table'!L13/100)</f>
        <v>7.895427537194081</v>
      </c>
      <c r="O13" s="5">
        <f>BlackScholesCall($O$1,O$1,$C13,$E13,'Volatility table'!M13/100)</f>
        <v>6.8772732620015411</v>
      </c>
      <c r="P13" s="5">
        <f>BlackScholesCall($O$1,P$1,$C13,$E13,'Volatility table'!N13/100)</f>
        <v>5.9056332044751372</v>
      </c>
      <c r="Q13" s="5">
        <f>BlackScholesCall($O$1,Q$1,$C13,$E13,'Volatility table'!O13/100)</f>
        <v>4.9849210951180503</v>
      </c>
      <c r="R13" s="5">
        <f>BlackScholesCall($O$1,R$1,$C13,$E13,'Volatility table'!P13/100)</f>
        <v>3.3168762611341407</v>
      </c>
      <c r="S13" s="5">
        <f>BlackScholesCall($O$1,S$1,$C13,$E13,'Volatility table'!Q13/100)</f>
        <v>1.9767818257564649</v>
      </c>
      <c r="T13" s="5">
        <f>BlackScholesCall($O$1,T$1,$C13,$E13,'Volatility table'!R13/100)</f>
        <v>1.3307124576379579</v>
      </c>
      <c r="U13" s="5">
        <f>BlackScholesCall($O$1,U$1,$C13,$E13,'Volatility table'!S13/100)</f>
        <v>0.89758570362291579</v>
      </c>
      <c r="V13" s="5">
        <f>BlackScholesCall($O$1,V$1,$C13,$E13,'Volatility table'!T13/100)</f>
        <v>0.60026141798146782</v>
      </c>
      <c r="W13" s="5">
        <f>BlackScholesCall($O$1,W$1,$C13,$E13,'Volatility table'!U13/100)</f>
        <v>0.26257005147283241</v>
      </c>
      <c r="X13" s="5">
        <f>BlackScholesCall($O$1,X$1,$C13,$E13,'Volatility table'!V13/100)</f>
        <v>0.11308287065991895</v>
      </c>
    </row>
    <row r="14" spans="1:24" x14ac:dyDescent="0.3">
      <c r="A14" s="3" t="s">
        <v>34</v>
      </c>
      <c r="B14" s="4">
        <v>45271</v>
      </c>
      <c r="C14" s="10">
        <f t="shared" si="0"/>
        <v>1.0849315068493151</v>
      </c>
      <c r="D14" s="5">
        <v>64.254000000000005</v>
      </c>
      <c r="E14" s="12">
        <f t="shared" si="1"/>
        <v>5.0973362712654513E-2</v>
      </c>
      <c r="F14" s="5">
        <f>BlackScholesCall($O$1,F$1,$C14,$E14,'Volatility table'!D14/100)</f>
        <v>32.311761318961501</v>
      </c>
      <c r="G14" s="5">
        <f>BlackScholesCall($O$1,G$1,$C14,$E14,'Volatility table'!E14/100)</f>
        <v>26.79196052865041</v>
      </c>
      <c r="H14" s="5">
        <f>BlackScholesCall($O$1,H$1,$C14,$E14,'Volatility table'!F14/100)</f>
        <v>21.433117986644618</v>
      </c>
      <c r="I14" s="5">
        <f>BlackScholesCall($O$1,I$1,$C14,$E14,'Volatility table'!G14/100)</f>
        <v>18.839422211619016</v>
      </c>
      <c r="J14" s="5">
        <f>BlackScholesCall($O$1,J$1,$C14,$E14,'Volatility table'!H14/100)</f>
        <v>16.314477413817436</v>
      </c>
      <c r="K14" s="5">
        <f>BlackScholesCall($O$1,K$1,$C14,$E14,'Volatility table'!I14/100)</f>
        <v>13.864523810428189</v>
      </c>
      <c r="L14" s="5">
        <f>BlackScholesCall($O$1,L$1,$C14,$E14,'Volatility table'!J14/100)</f>
        <v>11.520192624435353</v>
      </c>
      <c r="M14" s="5">
        <f>BlackScholesCall($O$1,M$1,$C14,$E14,'Volatility table'!K14/100)</f>
        <v>9.2874328098131329</v>
      </c>
      <c r="N14" s="5">
        <f>BlackScholesCall($O$1,N$1,$C14,$E14,'Volatility table'!L14/100)</f>
        <v>8.225698033959965</v>
      </c>
      <c r="O14" s="5">
        <f>BlackScholesCall($O$1,O$1,$C14,$E14,'Volatility table'!M14/100)</f>
        <v>7.2028258376372882</v>
      </c>
      <c r="P14" s="5">
        <f>BlackScholesCall($O$1,P$1,$C14,$E14,'Volatility table'!N14/100)</f>
        <v>6.2226938627413197</v>
      </c>
      <c r="Q14" s="5">
        <f>BlackScholesCall($O$1,Q$1,$C14,$E14,'Volatility table'!O14/100)</f>
        <v>5.2900381888873937</v>
      </c>
      <c r="R14" s="5">
        <f>BlackScholesCall($O$1,R$1,$C14,$E14,'Volatility table'!P14/100)</f>
        <v>3.5843622995703974</v>
      </c>
      <c r="S14" s="5">
        <f>BlackScholesCall($O$1,S$1,$C14,$E14,'Volatility table'!Q14/100)</f>
        <v>2.1896279538194925</v>
      </c>
      <c r="T14" s="5">
        <f>BlackScholesCall($O$1,T$1,$C14,$E14,'Volatility table'!R14/100)</f>
        <v>1.5200988499006964</v>
      </c>
      <c r="U14" s="5">
        <f>BlackScholesCall($O$1,U$1,$C14,$E14,'Volatility table'!S14/100)</f>
        <v>1.042671862165987</v>
      </c>
      <c r="V14" s="5">
        <f>BlackScholesCall($O$1,V$1,$C14,$E14,'Volatility table'!T14/100)</f>
        <v>0.70634491639776709</v>
      </c>
      <c r="W14" s="5">
        <f>BlackScholesCall($O$1,W$1,$C14,$E14,'Volatility table'!U14/100)</f>
        <v>0.31458504938794718</v>
      </c>
      <c r="X14" s="5">
        <f>BlackScholesCall($O$1,X$1,$C14,$E14,'Volatility table'!V14/100)</f>
        <v>0.13639770065846823</v>
      </c>
    </row>
    <row r="15" spans="1:24" x14ac:dyDescent="0.3">
      <c r="A15" s="3" t="s">
        <v>35</v>
      </c>
      <c r="B15" s="4">
        <v>45301</v>
      </c>
      <c r="C15" s="10">
        <f t="shared" si="0"/>
        <v>1.167123287671233</v>
      </c>
      <c r="D15" s="5">
        <v>64.501999999999995</v>
      </c>
      <c r="E15" s="12">
        <f t="shared" si="1"/>
        <v>5.0762621077788062E-2</v>
      </c>
      <c r="F15" s="5">
        <f>BlackScholesCall($O$1,F$1,$C15,$E15,'Volatility table'!D15/100)</f>
        <v>32.4777936909625</v>
      </c>
      <c r="G15" s="5">
        <f>BlackScholesCall($O$1,G$1,$C15,$E15,'Volatility table'!E15/100)</f>
        <v>27.017982675561296</v>
      </c>
      <c r="H15" s="5">
        <f>BlackScholesCall($O$1,H$1,$C15,$E15,'Volatility table'!F15/100)</f>
        <v>21.730854191502083</v>
      </c>
      <c r="I15" s="5">
        <f>BlackScholesCall($O$1,I$1,$C15,$E15,'Volatility table'!G15/100)</f>
        <v>19.176762169853561</v>
      </c>
      <c r="J15" s="5">
        <f>BlackScholesCall($O$1,J$1,$C15,$E15,'Volatility table'!H15/100)</f>
        <v>16.693299958429172</v>
      </c>
      <c r="K15" s="5">
        <f>BlackScholesCall($O$1,K$1,$C15,$E15,'Volatility table'!I15/100)</f>
        <v>14.285913788089765</v>
      </c>
      <c r="L15" s="5">
        <f>BlackScholesCall($O$1,L$1,$C15,$E15,'Volatility table'!J15/100)</f>
        <v>11.9836175966052</v>
      </c>
      <c r="M15" s="5">
        <f>BlackScholesCall($O$1,M$1,$C15,$E15,'Volatility table'!K15/100)</f>
        <v>9.7905066876483602</v>
      </c>
      <c r="N15" s="5">
        <f>BlackScholesCall($O$1,N$1,$C15,$E15,'Volatility table'!L15/100)</f>
        <v>8.7464774337630189</v>
      </c>
      <c r="O15" s="5">
        <f>BlackScholesCall($O$1,O$1,$C15,$E15,'Volatility table'!M15/100)</f>
        <v>7.7394989159230754</v>
      </c>
      <c r="P15" s="5">
        <f>BlackScholesCall($O$1,P$1,$C15,$E15,'Volatility table'!N15/100)</f>
        <v>6.7728968715304134</v>
      </c>
      <c r="Q15" s="5">
        <f>BlackScholesCall($O$1,Q$1,$C15,$E15,'Volatility table'!O15/100)</f>
        <v>5.849892128481212</v>
      </c>
      <c r="R15" s="5">
        <f>BlackScholesCall($O$1,R$1,$C15,$E15,'Volatility table'!P15/100)</f>
        <v>4.1488921755996522</v>
      </c>
      <c r="S15" s="5">
        <f>BlackScholesCall($O$1,S$1,$C15,$E15,'Volatility table'!Q15/100)</f>
        <v>2.6942029070666855</v>
      </c>
      <c r="T15" s="5">
        <f>BlackScholesCall($O$1,T$1,$C15,$E15,'Volatility table'!R15/100)</f>
        <v>1.6195405923073434</v>
      </c>
      <c r="U15" s="5">
        <f>BlackScholesCall($O$1,U$1,$C15,$E15,'Volatility table'!S15/100)</f>
        <v>1.1036319935139325</v>
      </c>
      <c r="V15" s="5">
        <f>BlackScholesCall($O$1,V$1,$C15,$E15,'Volatility table'!T15/100)</f>
        <v>0.75778935460822261</v>
      </c>
      <c r="W15" s="5">
        <f>BlackScholesCall($O$1,W$1,$C15,$E15,'Volatility table'!U15/100)</f>
        <v>0.34845709823754234</v>
      </c>
      <c r="X15" s="5">
        <f>BlackScholesCall($O$1,X$1,$C15,$E15,'Volatility table'!V15/100)</f>
        <v>0.15716701959527013</v>
      </c>
    </row>
    <row r="16" spans="1:24" x14ac:dyDescent="0.3">
      <c r="A16" s="3" t="s">
        <v>36</v>
      </c>
      <c r="B16" s="4">
        <v>45334</v>
      </c>
      <c r="C16" s="10">
        <f t="shared" si="0"/>
        <v>1.2575342465753425</v>
      </c>
      <c r="D16" s="5">
        <v>64.77</v>
      </c>
      <c r="E16" s="12">
        <f t="shared" si="1"/>
        <v>5.0486495579893154E-2</v>
      </c>
      <c r="F16" s="5">
        <f>BlackScholesCall($O$1,F$1,$C16,$E16,'Volatility table'!D16/100)</f>
        <v>32.648825909800564</v>
      </c>
      <c r="G16" s="5">
        <f>BlackScholesCall($O$1,G$1,$C16,$E16,'Volatility table'!E16/100)</f>
        <v>27.240884670939337</v>
      </c>
      <c r="H16" s="5">
        <f>BlackScholesCall($O$1,H$1,$C16,$E16,'Volatility table'!F16/100)</f>
        <v>22.008279863918425</v>
      </c>
      <c r="I16" s="5">
        <f>BlackScholesCall($O$1,I$1,$C16,$E16,'Volatility table'!G16/100)</f>
        <v>19.480949225703561</v>
      </c>
      <c r="J16" s="5">
        <f>BlackScholesCall($O$1,J$1,$C16,$E16,'Volatility table'!H16/100)</f>
        <v>17.022848110518403</v>
      </c>
      <c r="K16" s="5">
        <f>BlackScholesCall($O$1,K$1,$C16,$E16,'Volatility table'!I16/100)</f>
        <v>14.638723319821885</v>
      </c>
      <c r="L16" s="5">
        <f>BlackScholesCall($O$1,L$1,$C16,$E16,'Volatility table'!J16/100)</f>
        <v>12.355221632324536</v>
      </c>
      <c r="M16" s="5">
        <f>BlackScholesCall($O$1,M$1,$C16,$E16,'Volatility table'!K16/100)</f>
        <v>10.175738675570095</v>
      </c>
      <c r="N16" s="5">
        <f>BlackScholesCall($O$1,N$1,$C16,$E16,'Volatility table'!L16/100)</f>
        <v>9.1358643617938853</v>
      </c>
      <c r="O16" s="5">
        <f>BlackScholesCall($O$1,O$1,$C16,$E16,'Volatility table'!M16/100)</f>
        <v>8.1306201283094097</v>
      </c>
      <c r="P16" s="5">
        <f>BlackScholesCall($O$1,P$1,$C16,$E16,'Volatility table'!N16/100)</f>
        <v>7.1631898842976369</v>
      </c>
      <c r="Q16" s="5">
        <f>BlackScholesCall($O$1,Q$1,$C16,$E16,'Volatility table'!O16/100)</f>
        <v>6.2366208158480347</v>
      </c>
      <c r="R16" s="5">
        <f>BlackScholesCall($O$1,R$1,$C16,$E16,'Volatility table'!P16/100)</f>
        <v>4.5177661457589338</v>
      </c>
      <c r="S16" s="5">
        <f>BlackScholesCall($O$1,S$1,$C16,$E16,'Volatility table'!Q16/100)</f>
        <v>3.0166507995768548</v>
      </c>
      <c r="T16" s="5">
        <f>BlackScholesCall($O$1,T$1,$C16,$E16,'Volatility table'!R16/100)</f>
        <v>1.7769200333314341</v>
      </c>
      <c r="U16" s="5">
        <f>BlackScholesCall($O$1,U$1,$C16,$E16,'Volatility table'!S16/100)</f>
        <v>1.2267909016969138</v>
      </c>
      <c r="V16" s="5">
        <f>BlackScholesCall($O$1,V$1,$C16,$E16,'Volatility table'!T16/100)</f>
        <v>0.85625494093558174</v>
      </c>
      <c r="W16" s="5">
        <f>BlackScholesCall($O$1,W$1,$C16,$E16,'Volatility table'!U16/100)</f>
        <v>0.40781403350992917</v>
      </c>
      <c r="X16" s="5">
        <f>BlackScholesCall($O$1,X$1,$C16,$E16,'Volatility table'!V16/100)</f>
        <v>0.19080916986860119</v>
      </c>
    </row>
    <row r="17" spans="1:24" x14ac:dyDescent="0.3">
      <c r="A17" s="3" t="s">
        <v>37</v>
      </c>
      <c r="B17" s="4">
        <v>45362</v>
      </c>
      <c r="C17" s="10">
        <f t="shared" si="0"/>
        <v>1.3342465753424657</v>
      </c>
      <c r="D17" s="5">
        <v>64.992999999999995</v>
      </c>
      <c r="E17" s="12">
        <f t="shared" si="1"/>
        <v>5.0217813082673368E-2</v>
      </c>
      <c r="F17" s="5">
        <f>BlackScholesCall($O$1,F$1,$C17,$E17,'Volatility table'!D17/100)</f>
        <v>32.788137808282897</v>
      </c>
      <c r="G17" s="5">
        <f>BlackScholesCall($O$1,G$1,$C17,$E17,'Volatility table'!E17/100)</f>
        <v>27.417900344214065</v>
      </c>
      <c r="H17" s="5">
        <f>BlackScholesCall($O$1,H$1,$C17,$E17,'Volatility table'!F17/100)</f>
        <v>22.221767926625461</v>
      </c>
      <c r="I17" s="5">
        <f>BlackScholesCall($O$1,I$1,$C17,$E17,'Volatility table'!G17/100)</f>
        <v>19.710709845752653</v>
      </c>
      <c r="J17" s="5">
        <f>BlackScholesCall($O$1,J$1,$C17,$E17,'Volatility table'!H17/100)</f>
        <v>17.266674965295152</v>
      </c>
      <c r="K17" s="5">
        <f>BlackScholesCall($O$1,K$1,$C17,$E17,'Volatility table'!I17/100)</f>
        <v>14.893410240784455</v>
      </c>
      <c r="L17" s="5">
        <f>BlackScholesCall($O$1,L$1,$C17,$E17,'Volatility table'!J17/100)</f>
        <v>12.616762634746451</v>
      </c>
      <c r="M17" s="5">
        <f>BlackScholesCall($O$1,M$1,$C17,$E17,'Volatility table'!K17/100)</f>
        <v>10.438687181909259</v>
      </c>
      <c r="N17" s="5">
        <f>BlackScholesCall($O$1,N$1,$C17,$E17,'Volatility table'!L17/100)</f>
        <v>9.3972394612491073</v>
      </c>
      <c r="O17" s="5">
        <f>BlackScholesCall($O$1,O$1,$C17,$E17,'Volatility table'!M17/100)</f>
        <v>8.3886186838517922</v>
      </c>
      <c r="P17" s="5">
        <f>BlackScholesCall($O$1,P$1,$C17,$E17,'Volatility table'!N17/100)</f>
        <v>7.4155692100619959</v>
      </c>
      <c r="Q17" s="5">
        <f>BlackScholesCall($O$1,Q$1,$C17,$E17,'Volatility table'!O17/100)</f>
        <v>6.4812102697753033</v>
      </c>
      <c r="R17" s="5">
        <f>BlackScholesCall($O$1,R$1,$C17,$E17,'Volatility table'!P17/100)</f>
        <v>4.7398610319407481</v>
      </c>
      <c r="S17" s="5">
        <f>BlackScholesCall($O$1,S$1,$C17,$E17,'Volatility table'!Q17/100)</f>
        <v>3.2056088527603954</v>
      </c>
      <c r="T17" s="5">
        <f>BlackScholesCall($O$1,T$1,$C17,$E17,'Volatility table'!R17/100)</f>
        <v>1.9310527855940158</v>
      </c>
      <c r="U17" s="5">
        <f>BlackScholesCall($O$1,U$1,$C17,$E17,'Volatility table'!S17/100)</f>
        <v>1.3556906257194115</v>
      </c>
      <c r="V17" s="5">
        <f>BlackScholesCall($O$1,V$1,$C17,$E17,'Volatility table'!T17/100)</f>
        <v>0.95896442817587868</v>
      </c>
      <c r="W17" s="5">
        <f>BlackScholesCall($O$1,W$1,$C17,$E17,'Volatility table'!U17/100)</f>
        <v>0.46923455973256445</v>
      </c>
      <c r="X17" s="5">
        <f>BlackScholesCall($O$1,X$1,$C17,$E17,'Volatility table'!V17/100)</f>
        <v>0.22541757253427708</v>
      </c>
    </row>
    <row r="18" spans="1:24" x14ac:dyDescent="0.3">
      <c r="A18" s="3" t="s">
        <v>38</v>
      </c>
      <c r="B18" s="4">
        <v>45392</v>
      </c>
      <c r="C18" s="10">
        <f t="shared" si="0"/>
        <v>1.4164383561643836</v>
      </c>
      <c r="D18" s="5">
        <v>65.227999999999994</v>
      </c>
      <c r="E18" s="12">
        <f t="shared" si="1"/>
        <v>4.990797296702687E-2</v>
      </c>
      <c r="F18" s="5">
        <f>BlackScholesCall($O$1,F$1,$C18,$E18,'Volatility table'!D18/100)</f>
        <v>32.935817686920672</v>
      </c>
      <c r="G18" s="5">
        <f>BlackScholesCall($O$1,G$1,$C18,$E18,'Volatility table'!E18/100)</f>
        <v>27.604702422871597</v>
      </c>
      <c r="H18" s="5">
        <f>BlackScholesCall($O$1,H$1,$C18,$E18,'Volatility table'!F18/100)</f>
        <v>22.445819373989117</v>
      </c>
      <c r="I18" s="5">
        <f>BlackScholesCall($O$1,I$1,$C18,$E18,'Volatility table'!G18/100)</f>
        <v>19.951292612057799</v>
      </c>
      <c r="J18" s="5">
        <f>BlackScholesCall($O$1,J$1,$C18,$E18,'Volatility table'!H18/100)</f>
        <v>17.521497404877742</v>
      </c>
      <c r="K18" s="5">
        <f>BlackScholesCall($O$1,K$1,$C18,$E18,'Volatility table'!I18/100)</f>
        <v>15.159395129258812</v>
      </c>
      <c r="L18" s="5">
        <f>BlackScholesCall($O$1,L$1,$C18,$E18,'Volatility table'!J18/100)</f>
        <v>12.889495936149864</v>
      </c>
      <c r="M18" s="5">
        <f>BlackScholesCall($O$1,M$1,$C18,$E18,'Volatility table'!K18/100)</f>
        <v>10.713166003955962</v>
      </c>
      <c r="N18" s="5">
        <f>BlackScholesCall($O$1,N$1,$C18,$E18,'Volatility table'!L18/100)</f>
        <v>9.6699631014491558</v>
      </c>
      <c r="O18" s="5">
        <f>BlackScholesCall($O$1,O$1,$C18,$E18,'Volatility table'!M18/100)</f>
        <v>8.6577750836794642</v>
      </c>
      <c r="P18" s="5">
        <f>BlackScholesCall($O$1,P$1,$C18,$E18,'Volatility table'!N18/100)</f>
        <v>7.6794480263719898</v>
      </c>
      <c r="Q18" s="5">
        <f>BlackScholesCall($O$1,Q$1,$C18,$E18,'Volatility table'!O18/100)</f>
        <v>6.7373808333038987</v>
      </c>
      <c r="R18" s="5">
        <f>BlackScholesCall($O$1,R$1,$C18,$E18,'Volatility table'!P18/100)</f>
        <v>4.9734144035695778</v>
      </c>
      <c r="S18" s="5">
        <f>BlackScholesCall($O$1,S$1,$C18,$E18,'Volatility table'!Q18/100)</f>
        <v>3.4060275764589747</v>
      </c>
      <c r="T18" s="5">
        <f>BlackScholesCall($O$1,T$1,$C18,$E18,'Volatility table'!R18/100)</f>
        <v>2.0968028398653153</v>
      </c>
      <c r="U18" s="5">
        <f>BlackScholesCall($O$1,U$1,$C18,$E18,'Volatility table'!S18/100)</f>
        <v>1.4956339142321955</v>
      </c>
      <c r="V18" s="5">
        <f>BlackScholesCall($O$1,V$1,$C18,$E18,'Volatility table'!T18/100)</f>
        <v>1.0721919310596117</v>
      </c>
      <c r="W18" s="5">
        <f>BlackScholesCall($O$1,W$1,$C18,$E18,'Volatility table'!U18/100)</f>
        <v>0.53895159977261908</v>
      </c>
      <c r="X18" s="5">
        <f>BlackScholesCall($O$1,X$1,$C18,$E18,'Volatility table'!V18/100)</f>
        <v>0.26574141680951513</v>
      </c>
    </row>
    <row r="19" spans="1:24" x14ac:dyDescent="0.3">
      <c r="A19" s="3" t="s">
        <v>39</v>
      </c>
      <c r="B19" s="4">
        <v>45422</v>
      </c>
      <c r="C19" s="10">
        <f t="shared" si="0"/>
        <v>1.4986301369863013</v>
      </c>
      <c r="D19" s="5">
        <v>65.459000000000003</v>
      </c>
      <c r="E19" s="12">
        <f t="shared" si="1"/>
        <v>4.9580308482217728E-2</v>
      </c>
      <c r="F19" s="5">
        <f>BlackScholesCall($O$1,F$1,$C19,$E19,'Volatility table'!D19/100)</f>
        <v>33.081926445343328</v>
      </c>
      <c r="G19" s="5">
        <f>BlackScholesCall($O$1,G$1,$C19,$E19,'Volatility table'!E19/100)</f>
        <v>27.788553317997692</v>
      </c>
      <c r="H19" s="5">
        <f>BlackScholesCall($O$1,H$1,$C19,$E19,'Volatility table'!F19/100)</f>
        <v>22.665360659976336</v>
      </c>
      <c r="I19" s="5">
        <f>BlackScholesCall($O$1,I$1,$C19,$E19,'Volatility table'!G19/100)</f>
        <v>20.1864424655096</v>
      </c>
      <c r="J19" s="5">
        <f>BlackScholesCall($O$1,J$1,$C19,$E19,'Volatility table'!H19/100)</f>
        <v>17.770005675440608</v>
      </c>
      <c r="K19" s="5">
        <f>BlackScholesCall($O$1,K$1,$C19,$E19,'Volatility table'!I19/100)</f>
        <v>15.418301587607907</v>
      </c>
      <c r="L19" s="5">
        <f>BlackScholesCall($O$1,L$1,$C19,$E19,'Volatility table'!J19/100)</f>
        <v>13.15504913319846</v>
      </c>
      <c r="M19" s="5">
        <f>BlackScholesCall($O$1,M$1,$C19,$E19,'Volatility table'!K19/100)</f>
        <v>10.980032538681797</v>
      </c>
      <c r="N19" s="5">
        <f>BlackScholesCall($O$1,N$1,$C19,$E19,'Volatility table'!L19/100)</f>
        <v>9.9352481176054326</v>
      </c>
      <c r="O19" s="5">
        <f>BlackScholesCall($O$1,O$1,$C19,$E19,'Volatility table'!M19/100)</f>
        <v>8.9200724474260014</v>
      </c>
      <c r="P19" s="5">
        <f>BlackScholesCall($O$1,P$1,$C19,$E19,'Volatility table'!N19/100)</f>
        <v>7.9366567577466434</v>
      </c>
      <c r="Q19" s="5">
        <f>BlackScholesCall($O$1,Q$1,$C19,$E19,'Volatility table'!O19/100)</f>
        <v>6.9877731823964595</v>
      </c>
      <c r="R19" s="5">
        <f>BlackScholesCall($O$1,R$1,$C19,$E19,'Volatility table'!P19/100)</f>
        <v>5.2025796772023511</v>
      </c>
      <c r="S19" s="5">
        <f>BlackScholesCall($O$1,S$1,$C19,$E19,'Volatility table'!Q19/100)</f>
        <v>3.6043127121721881</v>
      </c>
      <c r="T19" s="5">
        <f>BlackScholesCall($O$1,T$1,$C19,$E19,'Volatility table'!R19/100)</f>
        <v>2.2624265842243929</v>
      </c>
      <c r="U19" s="5">
        <f>BlackScholesCall($O$1,U$1,$C19,$E19,'Volatility table'!S19/100)</f>
        <v>1.6376445961755728</v>
      </c>
      <c r="V19" s="5">
        <f>BlackScholesCall($O$1,V$1,$C19,$E19,'Volatility table'!T19/100)</f>
        <v>1.1884552396329493</v>
      </c>
      <c r="W19" s="5">
        <f>BlackScholesCall($O$1,W$1,$C19,$E19,'Volatility table'!U19/100)</f>
        <v>0.61208507767900766</v>
      </c>
      <c r="X19" s="5">
        <f>BlackScholesCall($O$1,X$1,$C19,$E19,'Volatility table'!V19/100)</f>
        <v>0.30922706080775697</v>
      </c>
    </row>
    <row r="20" spans="1:24" x14ac:dyDescent="0.3">
      <c r="A20" s="3" t="s">
        <v>40</v>
      </c>
      <c r="B20" s="4">
        <v>45453</v>
      </c>
      <c r="C20" s="10">
        <f t="shared" si="0"/>
        <v>1.5835616438356164</v>
      </c>
      <c r="D20" s="5">
        <v>65.694999999999993</v>
      </c>
      <c r="E20" s="12">
        <f t="shared" si="1"/>
        <v>4.9241646504506464E-2</v>
      </c>
      <c r="F20" s="5">
        <f>BlackScholesCall($O$1,F$1,$C20,$E20,'Volatility table'!D20/100)</f>
        <v>33.231717259274816</v>
      </c>
      <c r="G20" s="5">
        <f>BlackScholesCall($O$1,G$1,$C20,$E20,'Volatility table'!E20/100)</f>
        <v>27.976041871821472</v>
      </c>
      <c r="H20" s="5">
        <f>BlackScholesCall($O$1,H$1,$C20,$E20,'Volatility table'!F20/100)</f>
        <v>22.888080911369173</v>
      </c>
      <c r="I20" s="5">
        <f>BlackScholesCall($O$1,I$1,$C20,$E20,'Volatility table'!G20/100)</f>
        <v>20.424667170276699</v>
      </c>
      <c r="J20" s="5">
        <f>BlackScholesCall($O$1,J$1,$C20,$E20,'Volatility table'!H20/100)</f>
        <v>18.021352282158027</v>
      </c>
      <c r="K20" s="5">
        <f>BlackScholesCall($O$1,K$1,$C20,$E20,'Volatility table'!I20/100)</f>
        <v>15.679650251984008</v>
      </c>
      <c r="L20" s="5">
        <f>BlackScholesCall($O$1,L$1,$C20,$E20,'Volatility table'!J20/100)</f>
        <v>13.422716023990688</v>
      </c>
      <c r="M20" s="5">
        <f>BlackScholesCall($O$1,M$1,$C20,$E20,'Volatility table'!K20/100)</f>
        <v>11.249294025645142</v>
      </c>
      <c r="N20" s="5">
        <f>BlackScholesCall($O$1,N$1,$C20,$E20,'Volatility table'!L20/100)</f>
        <v>10.20303114499373</v>
      </c>
      <c r="O20" s="5">
        <f>BlackScholesCall($O$1,O$1,$C20,$E20,'Volatility table'!M20/100)</f>
        <v>9.1847653219860952</v>
      </c>
      <c r="P20" s="5">
        <f>BlackScholesCall($O$1,P$1,$C20,$E20,'Volatility table'!N20/100)</f>
        <v>8.1964839902725082</v>
      </c>
      <c r="Q20" s="5">
        <f>BlackScholesCall($O$1,Q$1,$C20,$E20,'Volatility table'!O20/100)</f>
        <v>7.2407957721864307</v>
      </c>
      <c r="R20" s="5">
        <f>BlackScholesCall($O$1,R$1,$C20,$E20,'Volatility table'!P20/100)</f>
        <v>5.4357641201709406</v>
      </c>
      <c r="S20" s="5">
        <f>BlackScholesCall($O$1,S$1,$C20,$E20,'Volatility table'!Q20/100)</f>
        <v>3.8073254078400822</v>
      </c>
      <c r="T20" s="5">
        <f>BlackScholesCall($O$1,T$1,$C20,$E20,'Volatility table'!R20/100)</f>
        <v>2.434166013088177</v>
      </c>
      <c r="U20" s="5">
        <f>BlackScholesCall($O$1,U$1,$C20,$E20,'Volatility table'!S20/100)</f>
        <v>1.7860251473369093</v>
      </c>
      <c r="V20" s="5">
        <f>BlackScholesCall($O$1,V$1,$C20,$E20,'Volatility table'!T20/100)</f>
        <v>1.3111216985070087</v>
      </c>
      <c r="W20" s="5">
        <f>BlackScholesCall($O$1,W$1,$C20,$E20,'Volatility table'!U20/100)</f>
        <v>0.69146433800660123</v>
      </c>
      <c r="X20" s="5">
        <f>BlackScholesCall($O$1,X$1,$C20,$E20,'Volatility table'!V20/100)</f>
        <v>0.35757968330605028</v>
      </c>
    </row>
    <row r="21" spans="1:24" x14ac:dyDescent="0.3">
      <c r="A21" s="3" t="s">
        <v>41</v>
      </c>
      <c r="B21" s="4">
        <v>45483</v>
      </c>
      <c r="C21" s="10">
        <f t="shared" si="0"/>
        <v>1.6657534246575343</v>
      </c>
      <c r="D21" s="5">
        <v>65.918000000000006</v>
      </c>
      <c r="E21" s="12">
        <f t="shared" si="1"/>
        <v>4.8887682469032079E-2</v>
      </c>
      <c r="F21" s="5">
        <f>BlackScholesCall($O$1,F$1,$C21,$E21,'Volatility table'!D21/100)</f>
        <v>33.374282273896071</v>
      </c>
      <c r="G21" s="5">
        <f>BlackScholesCall($O$1,G$1,$C21,$E21,'Volatility table'!E21/100)</f>
        <v>28.153923935177112</v>
      </c>
      <c r="H21" s="5">
        <f>BlackScholesCall($O$1,H$1,$C21,$E21,'Volatility table'!F21/100)</f>
        <v>23.09842723435035</v>
      </c>
      <c r="I21" s="5">
        <f>BlackScholesCall($O$1,I$1,$C21,$E21,'Volatility table'!G21/100)</f>
        <v>20.649191815285988</v>
      </c>
      <c r="J21" s="5">
        <f>BlackScholesCall($O$1,J$1,$C21,$E21,'Volatility table'!H21/100)</f>
        <v>18.257783593908016</v>
      </c>
      <c r="K21" s="5">
        <f>BlackScholesCall($O$1,K$1,$C21,$E21,'Volatility table'!I21/100)</f>
        <v>15.925490428709239</v>
      </c>
      <c r="L21" s="5">
        <f>BlackScholesCall($O$1,L$1,$C21,$E21,'Volatility table'!J21/100)</f>
        <v>13.674224889581275</v>
      </c>
      <c r="M21" s="5">
        <f>BlackScholesCall($O$1,M$1,$C21,$E21,'Volatility table'!K21/100)</f>
        <v>11.502166948310986</v>
      </c>
      <c r="N21" s="5">
        <f>BlackScholesCall($O$1,N$1,$C21,$E21,'Volatility table'!L21/100)</f>
        <v>10.454916680671126</v>
      </c>
      <c r="O21" s="5">
        <f>BlackScholesCall($O$1,O$1,$C21,$E21,'Volatility table'!M21/100)</f>
        <v>9.4339487472451395</v>
      </c>
      <c r="P21" s="5">
        <f>BlackScholesCall($O$1,P$1,$C21,$E21,'Volatility table'!N21/100)</f>
        <v>8.4413666689057614</v>
      </c>
      <c r="Q21" s="5">
        <f>BlackScholesCall($O$1,Q$1,$C21,$E21,'Volatility table'!O21/100)</f>
        <v>7.4796289403214793</v>
      </c>
      <c r="R21" s="5">
        <f>BlackScholesCall($O$1,R$1,$C21,$E21,'Volatility table'!P21/100)</f>
        <v>5.6562760962051364</v>
      </c>
      <c r="S21" s="5">
        <f>BlackScholesCall($O$1,S$1,$C21,$E21,'Volatility table'!Q21/100)</f>
        <v>4.0009231421224811</v>
      </c>
      <c r="T21" s="5">
        <f>BlackScholesCall($O$1,T$1,$C21,$E21,'Volatility table'!R21/100)</f>
        <v>2.5992213507838358</v>
      </c>
      <c r="U21" s="5">
        <f>BlackScholesCall($O$1,U$1,$C21,$E21,'Volatility table'!S21/100)</f>
        <v>1.9301316907221864</v>
      </c>
      <c r="V21" s="5">
        <f>BlackScholesCall($O$1,V$1,$C21,$E21,'Volatility table'!T21/100)</f>
        <v>1.4318557415538322</v>
      </c>
      <c r="W21" s="5">
        <f>BlackScholesCall($O$1,W$1,$C21,$E21,'Volatility table'!U21/100)</f>
        <v>0.77129722719889671</v>
      </c>
      <c r="X21" s="5">
        <f>BlackScholesCall($O$1,X$1,$C21,$E21,'Volatility table'!V21/100)</f>
        <v>0.40731287276194639</v>
      </c>
    </row>
    <row r="22" spans="1:24" x14ac:dyDescent="0.3">
      <c r="A22" s="3" t="s">
        <v>42</v>
      </c>
      <c r="B22" s="4">
        <v>45516</v>
      </c>
      <c r="C22" s="10">
        <f t="shared" si="0"/>
        <v>1.7561643835616438</v>
      </c>
      <c r="D22" s="5">
        <v>66.161000000000001</v>
      </c>
      <c r="E22" s="12">
        <f t="shared" si="1"/>
        <v>4.8508062046358935E-2</v>
      </c>
      <c r="F22" s="5">
        <f>BlackScholesCall($O$1,F$1,$C22,$E22,'Volatility table'!D22/100)</f>
        <v>33.529930611684378</v>
      </c>
      <c r="G22" s="5">
        <f>BlackScholesCall($O$1,G$1,$C22,$E22,'Volatility table'!E22/100)</f>
        <v>28.347003852408541</v>
      </c>
      <c r="H22" s="5">
        <f>BlackScholesCall($O$1,H$1,$C22,$E22,'Volatility table'!F22/100)</f>
        <v>23.325992511648902</v>
      </c>
      <c r="I22" s="5">
        <f>BlackScholesCall($O$1,I$1,$C22,$E22,'Volatility table'!G22/100)</f>
        <v>20.891474184788521</v>
      </c>
      <c r="J22" s="5">
        <f>BlackScholesCall($O$1,J$1,$C22,$E22,'Volatility table'!H22/100)</f>
        <v>18.512702163299934</v>
      </c>
      <c r="K22" s="5">
        <f>BlackScholesCall($O$1,K$1,$C22,$E22,'Volatility table'!I22/100)</f>
        <v>16.190248388486822</v>
      </c>
      <c r="L22" s="5">
        <f>BlackScholesCall($O$1,L$1,$C22,$E22,'Volatility table'!J22/100)</f>
        <v>13.944920139914004</v>
      </c>
      <c r="M22" s="5">
        <f>BlackScholesCall($O$1,M$1,$C22,$E22,'Volatility table'!K22/100)</f>
        <v>11.774613434667188</v>
      </c>
      <c r="N22" s="5">
        <f>BlackScholesCall($O$1,N$1,$C22,$E22,'Volatility table'!L22/100)</f>
        <v>10.725829086547893</v>
      </c>
      <c r="O22" s="5">
        <f>BlackScholesCall($O$1,O$1,$C22,$E22,'Volatility table'!M22/100)</f>
        <v>9.7020977500174723</v>
      </c>
      <c r="P22" s="5">
        <f>BlackScholesCall($O$1,P$1,$C22,$E22,'Volatility table'!N22/100)</f>
        <v>8.7051045338268693</v>
      </c>
      <c r="Q22" s="5">
        <f>BlackScholesCall($O$1,Q$1,$C22,$E22,'Volatility table'!O22/100)</f>
        <v>7.7371516656871968</v>
      </c>
      <c r="R22" s="5">
        <f>BlackScholesCall($O$1,R$1,$C22,$E22,'Volatility table'!P22/100)</f>
        <v>5.8952476840977432</v>
      </c>
      <c r="S22" s="5">
        <f>BlackScholesCall($O$1,S$1,$C22,$E22,'Volatility table'!Q22/100)</f>
        <v>4.2117434611755051</v>
      </c>
      <c r="T22" s="5">
        <f>BlackScholesCall($O$1,T$1,$C22,$E22,'Volatility table'!R22/100)</f>
        <v>2.780897819621476</v>
      </c>
      <c r="U22" s="5">
        <f>BlackScholesCall($O$1,U$1,$C22,$E22,'Volatility table'!S22/100)</f>
        <v>2.0901188295315443</v>
      </c>
      <c r="V22" s="5">
        <f>BlackScholesCall($O$1,V$1,$C22,$E22,'Volatility table'!T22/100)</f>
        <v>1.5669483088441734</v>
      </c>
      <c r="W22" s="5">
        <f>BlackScholesCall($O$1,W$1,$C22,$E22,'Volatility table'!U22/100)</f>
        <v>0.86231301104987867</v>
      </c>
      <c r="X22" s="5">
        <f>BlackScholesCall($O$1,X$1,$C22,$E22,'Volatility table'!V22/100)</f>
        <v>0.46537213600669958</v>
      </c>
    </row>
    <row r="23" spans="1:24" x14ac:dyDescent="0.3">
      <c r="A23" s="3" t="s">
        <v>43</v>
      </c>
      <c r="B23" s="4">
        <v>45545</v>
      </c>
      <c r="C23" s="10">
        <f t="shared" si="0"/>
        <v>1.8356164383561644</v>
      </c>
      <c r="D23" s="5">
        <v>66.370999999999995</v>
      </c>
      <c r="E23" s="12">
        <f t="shared" si="1"/>
        <v>4.8168561900005846E-2</v>
      </c>
      <c r="F23" s="5">
        <f>BlackScholesCall($O$1,F$1,$C23,$E23,'Volatility table'!D23/100)</f>
        <v>33.66498614866692</v>
      </c>
      <c r="G23" s="5">
        <f>BlackScholesCall($O$1,G$1,$C23,$E23,'Volatility table'!E23/100)</f>
        <v>28.513869771097692</v>
      </c>
      <c r="H23" s="5">
        <f>BlackScholesCall($O$1,H$1,$C23,$E23,'Volatility table'!F23/100)</f>
        <v>23.521839050454833</v>
      </c>
      <c r="I23" s="5">
        <f>BlackScholesCall($O$1,I$1,$C23,$E23,'Volatility table'!G23/100)</f>
        <v>21.099721061595538</v>
      </c>
      <c r="J23" s="5">
        <f>BlackScholesCall($O$1,J$1,$C23,$E23,'Volatility table'!H23/100)</f>
        <v>18.731643584038103</v>
      </c>
      <c r="K23" s="5">
        <f>BlackScholesCall($O$1,K$1,$C23,$E23,'Volatility table'!I23/100)</f>
        <v>16.417114505928843</v>
      </c>
      <c r="L23" s="5">
        <f>BlackScholesCall($O$1,L$1,$C23,$E23,'Volatility table'!J23/100)</f>
        <v>14.177094817087877</v>
      </c>
      <c r="M23" s="5">
        <f>BlackScholesCall($O$1,M$1,$C23,$E23,'Volatility table'!K23/100)</f>
        <v>12.007931271834181</v>
      </c>
      <c r="N23" s="5">
        <f>BlackScholesCall($O$1,N$1,$C23,$E23,'Volatility table'!L23/100)</f>
        <v>10.958190391478603</v>
      </c>
      <c r="O23" s="5">
        <f>BlackScholesCall($O$1,O$1,$C23,$E23,'Volatility table'!M23/100)</f>
        <v>9.9322753779950972</v>
      </c>
      <c r="P23" s="5">
        <f>BlackScholesCall($O$1,P$1,$C23,$E23,'Volatility table'!N23/100)</f>
        <v>8.9317439702369548</v>
      </c>
      <c r="Q23" s="5">
        <f>BlackScholesCall($O$1,Q$1,$C23,$E23,'Volatility table'!O23/100)</f>
        <v>7.9584513594760828</v>
      </c>
      <c r="R23" s="5">
        <f>BlackScholesCall($O$1,R$1,$C23,$E23,'Volatility table'!P23/100)</f>
        <v>6.1014315381674216</v>
      </c>
      <c r="S23" s="5">
        <f>BlackScholesCall($O$1,S$1,$C23,$E23,'Volatility table'!Q23/100)</f>
        <v>4.3947513477169693</v>
      </c>
      <c r="T23" s="5">
        <f>BlackScholesCall($O$1,T$1,$C23,$E23,'Volatility table'!R23/100)</f>
        <v>2.9396525095269155</v>
      </c>
      <c r="U23" s="5">
        <f>BlackScholesCall($O$1,U$1,$C23,$E23,'Volatility table'!S23/100)</f>
        <v>2.2309617752012159</v>
      </c>
      <c r="V23" s="5">
        <f>BlackScholesCall($O$1,V$1,$C23,$E23,'Volatility table'!T23/100)</f>
        <v>1.6871856054992413</v>
      </c>
      <c r="W23" s="5">
        <f>BlackScholesCall($O$1,W$1,$C23,$E23,'Volatility table'!U23/100)</f>
        <v>0.94493338190099685</v>
      </c>
      <c r="X23" s="5">
        <f>BlackScholesCall($O$1,X$1,$C23,$E23,'Volatility table'!V23/100)</f>
        <v>0.51899311015374394</v>
      </c>
    </row>
    <row r="24" spans="1:24" x14ac:dyDescent="0.3">
      <c r="A24" s="3" t="s">
        <v>44</v>
      </c>
      <c r="B24" s="4">
        <v>45575</v>
      </c>
      <c r="C24" s="10">
        <f t="shared" si="0"/>
        <v>1.9178082191780821</v>
      </c>
      <c r="D24" s="5">
        <v>66.585999999999999</v>
      </c>
      <c r="E24" s="12">
        <f t="shared" si="1"/>
        <v>4.7822911102199495E-2</v>
      </c>
      <c r="F24" s="5">
        <f>BlackScholesCall($O$1,F$1,$C24,$E24,'Volatility table'!D24/100)</f>
        <v>33.803444524731688</v>
      </c>
      <c r="G24" s="5">
        <f>BlackScholesCall($O$1,G$1,$C24,$E24,'Volatility table'!E24/100)</f>
        <v>28.684404147092213</v>
      </c>
      <c r="H24" s="5">
        <f>BlackScholesCall($O$1,H$1,$C24,$E24,'Volatility table'!F24/100)</f>
        <v>23.721042963571374</v>
      </c>
      <c r="I24" s="5">
        <f>BlackScholesCall($O$1,I$1,$C24,$E24,'Volatility table'!G24/100)</f>
        <v>21.311417893441956</v>
      </c>
      <c r="J24" s="5">
        <f>BlackScholesCall($O$1,J$1,$C24,$E24,'Volatility table'!H24/100)</f>
        <v>18.953773032411021</v>
      </c>
      <c r="K24" s="5">
        <f>BlackScholesCall($O$1,K$1,$C24,$E24,'Volatility table'!I24/100)</f>
        <v>16.647319336571613</v>
      </c>
      <c r="L24" s="5">
        <f>BlackScholesCall($O$1,L$1,$C24,$E24,'Volatility table'!J24/100)</f>
        <v>14.412105371701145</v>
      </c>
      <c r="M24" s="5">
        <f>BlackScholesCall($O$1,M$1,$C24,$E24,'Volatility table'!K24/100)</f>
        <v>12.244381626779777</v>
      </c>
      <c r="N24" s="5">
        <f>BlackScholesCall($O$1,N$1,$C24,$E24,'Volatility table'!L24/100)</f>
        <v>11.193745572089217</v>
      </c>
      <c r="O24" s="5">
        <f>BlackScholesCall($O$1,O$1,$C24,$E24,'Volatility table'!M24/100)</f>
        <v>10.165736934258931</v>
      </c>
      <c r="P24" s="5">
        <f>BlackScholesCall($O$1,P$1,$C24,$E24,'Volatility table'!N24/100)</f>
        <v>9.1614751561489101</v>
      </c>
      <c r="Q24" s="5">
        <f>BlackScholesCall($O$1,Q$1,$C24,$E24,'Volatility table'!O24/100)</f>
        <v>8.1836217542175191</v>
      </c>
      <c r="R24" s="5">
        <f>BlackScholesCall($O$1,R$1,$C24,$E24,'Volatility table'!P24/100)</f>
        <v>6.3112416303085581</v>
      </c>
      <c r="S24" s="5">
        <f>BlackScholesCall($O$1,S$1,$C24,$E24,'Volatility table'!Q24/100)</f>
        <v>4.5818912201831026</v>
      </c>
      <c r="T24" s="5">
        <f>BlackScholesCall($O$1,T$1,$C24,$E24,'Volatility table'!R24/100)</f>
        <v>3.103426471618274</v>
      </c>
      <c r="U24" s="5">
        <f>BlackScholesCall($O$1,U$1,$C24,$E24,'Volatility table'!S24/100)</f>
        <v>2.3772781657449187</v>
      </c>
      <c r="V24" s="5">
        <f>BlackScholesCall($O$1,V$1,$C24,$E24,'Volatility table'!T24/100)</f>
        <v>1.8126980610454453</v>
      </c>
      <c r="W24" s="5">
        <f>BlackScholesCall($O$1,W$1,$C24,$E24,'Volatility table'!U24/100)</f>
        <v>1.032876002956959</v>
      </c>
      <c r="X24" s="5">
        <f>BlackScholesCall($O$1,X$1,$C24,$E24,'Volatility table'!V24/100)</f>
        <v>0.57713495139952542</v>
      </c>
    </row>
    <row r="25" spans="1:24" x14ac:dyDescent="0.3">
      <c r="A25" s="3" t="s">
        <v>45</v>
      </c>
      <c r="B25" s="4">
        <v>45608</v>
      </c>
      <c r="C25" s="10">
        <f t="shared" si="0"/>
        <v>2.0082191780821916</v>
      </c>
      <c r="D25" s="5">
        <v>66.819000000000003</v>
      </c>
      <c r="E25" s="12">
        <f t="shared" si="1"/>
        <v>4.744188934423077E-2</v>
      </c>
      <c r="F25" s="5">
        <f>BlackScholesCall($O$1,F$1,$C25,$E25,'Volatility table'!D25/100)</f>
        <v>33.9538626381675</v>
      </c>
      <c r="G25" s="5">
        <f>BlackScholesCall($O$1,G$1,$C25,$E25,'Volatility table'!E25/100)</f>
        <v>28.868830240828824</v>
      </c>
      <c r="H25" s="5">
        <f>BlackScholesCall($O$1,H$1,$C25,$E25,'Volatility table'!F25/100)</f>
        <v>23.93603310757937</v>
      </c>
      <c r="I25" s="5">
        <f>BlackScholesCall($O$1,I$1,$C25,$E25,'Volatility table'!G25/100)</f>
        <v>21.539388175946033</v>
      </c>
      <c r="J25" s="5">
        <f>BlackScholesCall($O$1,J$1,$C25,$E25,'Volatility table'!H25/100)</f>
        <v>19.192693727361558</v>
      </c>
      <c r="K25" s="5">
        <f>BlackScholesCall($O$1,K$1,$C25,$E25,'Volatility table'!I25/100)</f>
        <v>16.894707751718222</v>
      </c>
      <c r="L25" s="5">
        <f>BlackScholesCall($O$1,L$1,$C25,$E25,'Volatility table'!J25/100)</f>
        <v>14.664805196872543</v>
      </c>
      <c r="M25" s="5">
        <f>BlackScholesCall($O$1,M$1,$C25,$E25,'Volatility table'!K25/100)</f>
        <v>12.498655395175167</v>
      </c>
      <c r="N25" s="5">
        <f>BlackScholesCall($O$1,N$1,$C25,$E25,'Volatility table'!L25/100)</f>
        <v>11.447129309632967</v>
      </c>
      <c r="O25" s="5">
        <f>BlackScholesCall($O$1,O$1,$C25,$E25,'Volatility table'!M25/100)</f>
        <v>10.416678528686074</v>
      </c>
      <c r="P25" s="5">
        <f>BlackScholesCall($O$1,P$1,$C25,$E25,'Volatility table'!N25/100)</f>
        <v>9.4088968756292886</v>
      </c>
      <c r="Q25" s="5">
        <f>BlackScholesCall($O$1,Q$1,$C25,$E25,'Volatility table'!O25/100)</f>
        <v>8.4256964837691974</v>
      </c>
      <c r="R25" s="5">
        <f>BlackScholesCall($O$1,R$1,$C25,$E25,'Volatility table'!P25/100)</f>
        <v>6.5381105206202399</v>
      </c>
      <c r="S25" s="5">
        <f>BlackScholesCall($O$1,S$1,$C25,$E25,'Volatility table'!Q25/100)</f>
        <v>4.7852542141351364</v>
      </c>
      <c r="T25" s="5">
        <f>BlackScholesCall($O$1,T$1,$C25,$E25,'Volatility table'!R25/100)</f>
        <v>3.2825776033868124</v>
      </c>
      <c r="U25" s="5">
        <f>BlackScholesCall($O$1,U$1,$C25,$E25,'Volatility table'!S25/100)</f>
        <v>2.5383960415244502</v>
      </c>
      <c r="V25" s="5">
        <f>BlackScholesCall($O$1,V$1,$C25,$E25,'Volatility table'!T25/100)</f>
        <v>1.9519912626634994</v>
      </c>
      <c r="W25" s="5">
        <f>BlackScholesCall($O$1,W$1,$C25,$E25,'Volatility table'!U25/100)</f>
        <v>1.1319286528118901</v>
      </c>
      <c r="X25" s="5">
        <f>BlackScholesCall($O$1,X$1,$C25,$E25,'Volatility table'!V25/100)</f>
        <v>0.64380570126305958</v>
      </c>
    </row>
    <row r="27" spans="1:24" x14ac:dyDescent="0.3">
      <c r="E27" s="13"/>
    </row>
    <row r="28" spans="1:24" x14ac:dyDescent="0.3">
      <c r="D28" s="11"/>
      <c r="E28" s="11"/>
      <c r="F28" s="11"/>
    </row>
  </sheetData>
  <phoneticPr fontId="3" type="noConversion"/>
  <pageMargins left="0.5" right="0.5" top="1" bottom="1" header="0.5" footer="0.75"/>
  <pageSetup fitToHeight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D6558-B56F-42C6-A87F-ABA9DB043643}">
  <sheetPr codeName="Sheet4">
    <tabColor theme="0" tint="-0.34998626667073579"/>
    <pageSetUpPr fitToPage="1"/>
  </sheetPr>
  <dimension ref="A1:X28"/>
  <sheetViews>
    <sheetView workbookViewId="0">
      <selection activeCell="D22" sqref="D22"/>
    </sheetView>
  </sheetViews>
  <sheetFormatPr defaultRowHeight="14.4" x14ac:dyDescent="0.3"/>
  <cols>
    <col min="1" max="1" width="5" customWidth="1"/>
    <col min="2" max="2" width="13.21875" customWidth="1"/>
    <col min="3" max="3" width="8.44140625" customWidth="1"/>
    <col min="4" max="5" width="9.109375" customWidth="1"/>
    <col min="6" max="24" width="7.6640625" customWidth="1"/>
  </cols>
  <sheetData>
    <row r="1" spans="1:24" x14ac:dyDescent="0.3">
      <c r="A1" s="1" t="s">
        <v>0</v>
      </c>
      <c r="B1" s="1" t="s">
        <v>1</v>
      </c>
      <c r="C1" s="1" t="s">
        <v>46</v>
      </c>
      <c r="D1" s="2" t="s">
        <v>2</v>
      </c>
      <c r="E1" s="2" t="s">
        <v>50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14">
        <v>60.88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  <c r="U1" s="2" t="s">
        <v>18</v>
      </c>
      <c r="V1" s="2" t="s">
        <v>19</v>
      </c>
      <c r="W1" s="2" t="s">
        <v>20</v>
      </c>
      <c r="X1" s="2" t="s">
        <v>21</v>
      </c>
    </row>
    <row r="2" spans="1:24" x14ac:dyDescent="0.3">
      <c r="A2" s="3" t="s">
        <v>22</v>
      </c>
      <c r="B2" s="4">
        <v>44907</v>
      </c>
      <c r="C2" s="10">
        <f>YEARFRAC(DATE(2022,11,10),B2,3)</f>
        <v>8.7671232876712329E-2</v>
      </c>
      <c r="D2" s="5">
        <v>61.109000000000002</v>
      </c>
      <c r="E2" s="12">
        <f>($D2/$O$1)^(1/$C2)-1</f>
        <v>4.3754278059352947E-2</v>
      </c>
      <c r="F2" s="5">
        <f>BlackScholesCallwithDiv($O$1,F$1,$C2,$E2,'Volatility table'!D2/100,RF!$H$1)</f>
        <v>30.396795716896968</v>
      </c>
      <c r="G2" s="5">
        <f>BlackScholesCallwithDiv($O$1,G$1,$C2,$E2,'Volatility table'!E2/100,RF!$H$1)</f>
        <v>24.331444070719257</v>
      </c>
      <c r="H2" s="5">
        <f>BlackScholesCallwithDiv($O$1,H$1,$C2,$E2,'Volatility table'!F2/100,RF!$H$1)</f>
        <v>18.273291440984515</v>
      </c>
      <c r="I2" s="5">
        <f>BlackScholesCallwithDiv($O$1,I$1,$C2,$E2,'Volatility table'!G2/100,RF!$H$1)</f>
        <v>15.258726808779343</v>
      </c>
      <c r="J2" s="5">
        <f>BlackScholesCallwithDiv($O$1,J$1,$C2,$E2,'Volatility table'!H2/100,RF!$H$1)</f>
        <v>12.260895655342843</v>
      </c>
      <c r="K2" s="5">
        <f>BlackScholesCallwithDiv($O$1,K$1,$C2,$E2,'Volatility table'!I2/100,RF!$H$1)</f>
        <v>9.289094580035048</v>
      </c>
      <c r="L2" s="5">
        <f>BlackScholesCallwithDiv($O$1,L$1,$C2,$E2,'Volatility table'!J2/100,RF!$H$1)</f>
        <v>6.4029798145025225</v>
      </c>
      <c r="M2" s="5">
        <f>BlackScholesCallwithDiv($O$1,M$1,$C2,$E2,'Volatility table'!K2/100,RF!$H$1)</f>
        <v>3.6794218906566556</v>
      </c>
      <c r="N2" s="5">
        <f>BlackScholesCallwithDiv($O$1,N$1,$C2,$E2,'Volatility table'!L2/100,RF!$H$1)</f>
        <v>2.4533512236839954</v>
      </c>
      <c r="O2" s="5">
        <f>BlackScholesCallwithDiv($O$1,O$1,$C2,$E2,'Volatility table'!M2/100,RF!$H$1)</f>
        <v>1.3950942959793124</v>
      </c>
      <c r="P2" s="5">
        <f>BlackScholesCallwithDiv($O$1,P$1,$C2,$E2,'Volatility table'!N2/100,RF!$H$1)</f>
        <v>0.6194294618776226</v>
      </c>
      <c r="Q2" s="5">
        <f>BlackScholesCallwithDiv($O$1,Q$1,$C2,$E2,'Volatility table'!O2/100,RF!$H$1)</f>
        <v>0.23135797732181551</v>
      </c>
      <c r="R2" s="5">
        <f>BlackScholesCallwithDiv($O$1,R$1,$C2,$E2,'Volatility table'!P2/100,RF!$H$1)</f>
        <v>7.8583345395103699E-2</v>
      </c>
      <c r="S2" s="5">
        <f>BlackScholesCallwithDiv($O$1,S$1,$C2,$E2,'Volatility table'!Q2/100,RF!$H$1)</f>
        <v>5.0069345318737302E-2</v>
      </c>
      <c r="T2" s="5">
        <f>BlackScholesCallwithDiv($O$1,T$1,$C2,$E2,'Volatility table'!R2/100,RF!$H$1)</f>
        <v>3.3830039127206391E-2</v>
      </c>
      <c r="U2" s="5">
        <f>BlackScholesCallwithDiv($O$1,U$1,$C2,$E2,'Volatility table'!S2/100,RF!$H$1)</f>
        <v>2.3177312257119609E-2</v>
      </c>
      <c r="V2" s="5">
        <f>BlackScholesCallwithDiv($O$1,V$1,$C2,$E2,'Volatility table'!T2/100,RF!$H$1)</f>
        <v>1.5998957026014338E-2</v>
      </c>
      <c r="W2" s="5">
        <f>BlackScholesCallwithDiv($O$1,W$1,$C2,$E2,'Volatility table'!U2/100,RF!$H$1)</f>
        <v>7.8166767925168246E-3</v>
      </c>
      <c r="X2" s="5">
        <f>BlackScholesCallwithDiv($O$1,X$1,$C2,$E2,'Volatility table'!V2/100,RF!$H$1)</f>
        <v>3.9826410202578738E-3</v>
      </c>
    </row>
    <row r="3" spans="1:24" x14ac:dyDescent="0.3">
      <c r="A3" s="3" t="s">
        <v>23</v>
      </c>
      <c r="B3" s="4">
        <v>44936</v>
      </c>
      <c r="C3" s="10">
        <f t="shared" ref="C3:C25" si="0">YEARFRAC(DATE(2022,11,10),B3,3)</f>
        <v>0.16712328767123288</v>
      </c>
      <c r="D3" s="5">
        <v>61.335000000000001</v>
      </c>
      <c r="E3" s="12">
        <f t="shared" ref="E3:E25" si="1">($D3/$O$1)^(1/$C3)-1</f>
        <v>4.5560922320187602E-2</v>
      </c>
      <c r="F3" s="5">
        <f>BlackScholesCallwithDiv($O$1,F$1,$C3,$E3,'Volatility table'!D3/100,RF!$H$1)</f>
        <v>30.370764206676668</v>
      </c>
      <c r="G3" s="5">
        <f>BlackScholesCallwithDiv($O$1,G$1,$C3,$E3,'Volatility table'!E3/100,RF!$H$1)</f>
        <v>24.340410514689864</v>
      </c>
      <c r="H3" s="5">
        <f>BlackScholesCallwithDiv($O$1,H$1,$C3,$E3,'Volatility table'!F3/100,RF!$H$1)</f>
        <v>18.33926655449531</v>
      </c>
      <c r="I3" s="5">
        <f>BlackScholesCallwithDiv($O$1,I$1,$C3,$E3,'Volatility table'!G3/100,RF!$H$1)</f>
        <v>15.367858531705522</v>
      </c>
      <c r="J3" s="5">
        <f>BlackScholesCallwithDiv($O$1,J$1,$C3,$E3,'Volatility table'!H3/100,RF!$H$1)</f>
        <v>12.426884964676859</v>
      </c>
      <c r="K3" s="5">
        <f>BlackScholesCallwithDiv($O$1,K$1,$C3,$E3,'Volatility table'!I3/100,RF!$H$1)</f>
        <v>9.5281635005205274</v>
      </c>
      <c r="L3" s="5">
        <f>BlackScholesCallwithDiv($O$1,L$1,$C3,$E3,'Volatility table'!J3/100,RF!$H$1)</f>
        <v>6.7305640579192314</v>
      </c>
      <c r="M3" s="5">
        <f>BlackScholesCallwithDiv($O$1,M$1,$C3,$E3,'Volatility table'!K3/100,RF!$H$1)</f>
        <v>4.1109424451882148</v>
      </c>
      <c r="N3" s="5">
        <f>BlackScholesCallwithDiv($O$1,N$1,$C3,$E3,'Volatility table'!L3/100,RF!$H$1)</f>
        <v>2.9399120078554546</v>
      </c>
      <c r="O3" s="5">
        <f>BlackScholesCallwithDiv($O$1,O$1,$C3,$E3,'Volatility table'!M3/100,RF!$H$1)</f>
        <v>1.9251964505373174</v>
      </c>
      <c r="P3" s="5">
        <f>BlackScholesCallwithDiv($O$1,P$1,$C3,$E3,'Volatility table'!N3/100,RF!$H$1)</f>
        <v>1.1339687859614109</v>
      </c>
      <c r="Q3" s="5">
        <f>BlackScholesCallwithDiv($O$1,Q$1,$C3,$E3,'Volatility table'!O3/100,RF!$H$1)</f>
        <v>0.61023905851942928</v>
      </c>
      <c r="R3" s="5">
        <f>BlackScholesCallwithDiv($O$1,R$1,$C3,$E3,'Volatility table'!P3/100,RF!$H$1)</f>
        <v>0.17595232790404225</v>
      </c>
      <c r="S3" s="5">
        <f>BlackScholesCallwithDiv($O$1,S$1,$C3,$E3,'Volatility table'!Q3/100,RF!$H$1)</f>
        <v>6.3595787249130176E-2</v>
      </c>
      <c r="T3" s="5">
        <f>BlackScholesCallwithDiv($O$1,T$1,$C3,$E3,'Volatility table'!R3/100,RF!$H$1)</f>
        <v>2.7578275371684335E-2</v>
      </c>
      <c r="U3" s="5">
        <f>BlackScholesCallwithDiv($O$1,U$1,$C3,$E3,'Volatility table'!S3/100,RF!$H$1)</f>
        <v>1.3501267133330386E-2</v>
      </c>
      <c r="V3" s="5">
        <f>BlackScholesCallwithDiv($O$1,V$1,$C3,$E3,'Volatility table'!T3/100,RF!$H$1)</f>
        <v>7.1167414790804517E-3</v>
      </c>
      <c r="W3" s="5">
        <f>BlackScholesCallwithDiv($O$1,W$1,$C3,$E3,'Volatility table'!U3/100,RF!$H$1)</f>
        <v>2.268666704757602E-3</v>
      </c>
      <c r="X3" s="5">
        <f>BlackScholesCallwithDiv($O$1,X$1,$C3,$E3,'Volatility table'!V3/100,RF!$H$1)</f>
        <v>8.1949709621356379E-4</v>
      </c>
    </row>
    <row r="4" spans="1:24" x14ac:dyDescent="0.3">
      <c r="A4" s="3" t="s">
        <v>24</v>
      </c>
      <c r="B4" s="4">
        <v>44967</v>
      </c>
      <c r="C4" s="10">
        <f t="shared" si="0"/>
        <v>0.25205479452054796</v>
      </c>
      <c r="D4" s="5">
        <v>61.591000000000001</v>
      </c>
      <c r="E4" s="12">
        <f t="shared" si="1"/>
        <v>4.7143047588126041E-2</v>
      </c>
      <c r="F4" s="5">
        <f>BlackScholesCallwithDiv($O$1,F$1,$C4,$E4,'Volatility table'!D4/100,RF!$H$1)</f>
        <v>30.353386615046055</v>
      </c>
      <c r="G4" s="5">
        <f>BlackScholesCallwithDiv($O$1,G$1,$C4,$E4,'Volatility table'!E4/100,RF!$H$1)</f>
        <v>24.365669261355201</v>
      </c>
      <c r="H4" s="5">
        <f>BlackScholesCallwithDiv($O$1,H$1,$C4,$E4,'Volatility table'!F4/100,RF!$H$1)</f>
        <v>18.430237289067271</v>
      </c>
      <c r="I4" s="5">
        <f>BlackScholesCallwithDiv($O$1,I$1,$C4,$E4,'Volatility table'!G4/100,RF!$H$1)</f>
        <v>15.506571473649146</v>
      </c>
      <c r="J4" s="5">
        <f>BlackScholesCallwithDiv($O$1,J$1,$C4,$E4,'Volatility table'!H4/100,RF!$H$1)</f>
        <v>12.628555428448358</v>
      </c>
      <c r="K4" s="5">
        <f>BlackScholesCallwithDiv($O$1,K$1,$C4,$E4,'Volatility table'!I4/100,RF!$H$1)</f>
        <v>9.8140478882416033</v>
      </c>
      <c r="L4" s="5">
        <f>BlackScholesCallwithDiv($O$1,L$1,$C4,$E4,'Volatility table'!J4/100,RF!$H$1)</f>
        <v>7.1269442721686573</v>
      </c>
      <c r="M4" s="5">
        <f>BlackScholesCallwithDiv($O$1,M$1,$C4,$E4,'Volatility table'!K4/100,RF!$H$1)</f>
        <v>4.6405845898449272</v>
      </c>
      <c r="N4" s="5">
        <f>BlackScholesCallwithDiv($O$1,N$1,$C4,$E4,'Volatility table'!L4/100,RF!$H$1)</f>
        <v>3.5292172830939847</v>
      </c>
      <c r="O4" s="5">
        <f>BlackScholesCallwithDiv($O$1,O$1,$C4,$E4,'Volatility table'!M4/100,RF!$H$1)</f>
        <v>2.544440742005694</v>
      </c>
      <c r="P4" s="5">
        <f>BlackScholesCallwithDiv($O$1,P$1,$C4,$E4,'Volatility table'!N4/100,RF!$H$1)</f>
        <v>1.7233071477440838</v>
      </c>
      <c r="Q4" s="5">
        <f>BlackScholesCallwithDiv($O$1,Q$1,$C4,$E4,'Volatility table'!O4/100,RF!$H$1)</f>
        <v>1.0937539132086229</v>
      </c>
      <c r="R4" s="5">
        <f>BlackScholesCallwithDiv($O$1,R$1,$C4,$E4,'Volatility table'!P4/100,RF!$H$1)</f>
        <v>0.38302425531190565</v>
      </c>
      <c r="S4" s="5">
        <f>BlackScholesCallwithDiv($O$1,S$1,$C4,$E4,'Volatility table'!Q4/100,RF!$H$1)</f>
        <v>0.13553195341811675</v>
      </c>
      <c r="T4" s="5">
        <f>BlackScholesCallwithDiv($O$1,T$1,$C4,$E4,'Volatility table'!R4/100,RF!$H$1)</f>
        <v>5.5859743694889108E-2</v>
      </c>
      <c r="U4" s="5">
        <f>BlackScholesCallwithDiv($O$1,U$1,$C4,$E4,'Volatility table'!S4/100,RF!$H$1)</f>
        <v>2.7006141646400583E-2</v>
      </c>
      <c r="V4" s="5">
        <f>BlackScholesCallwithDiv($O$1,V$1,$C4,$E4,'Volatility table'!T4/100,RF!$H$1)</f>
        <v>1.4578627241435382E-2</v>
      </c>
      <c r="W4" s="5">
        <f>BlackScholesCallwithDiv($O$1,W$1,$C4,$E4,'Volatility table'!U4/100,RF!$H$1)</f>
        <v>5.1658543437809734E-3</v>
      </c>
      <c r="X4" s="5">
        <f>BlackScholesCallwithDiv($O$1,X$1,$C4,$E4,'Volatility table'!V4/100,RF!$H$1)</f>
        <v>2.1373698820683143E-3</v>
      </c>
    </row>
    <row r="5" spans="1:24" x14ac:dyDescent="0.3">
      <c r="A5" s="3" t="s">
        <v>25</v>
      </c>
      <c r="B5" s="4">
        <v>44995</v>
      </c>
      <c r="C5" s="10">
        <f t="shared" si="0"/>
        <v>0.32876712328767121</v>
      </c>
      <c r="D5" s="5">
        <v>61.83</v>
      </c>
      <c r="E5" s="12">
        <f t="shared" si="1"/>
        <v>4.8223760953476136E-2</v>
      </c>
      <c r="F5" s="5">
        <f>BlackScholesCallwithDiv($O$1,F$1,$C5,$E5,'Volatility table'!D5/100,RF!$H$1)</f>
        <v>30.341912005392018</v>
      </c>
      <c r="G5" s="5">
        <f>BlackScholesCallwithDiv($O$1,G$1,$C5,$E5,'Volatility table'!E5/100,RF!$H$1)</f>
        <v>24.393737755714326</v>
      </c>
      <c r="H5" s="5">
        <f>BlackScholesCallwithDiv($O$1,H$1,$C5,$E5,'Volatility table'!F5/100,RF!$H$1)</f>
        <v>18.517916608004406</v>
      </c>
      <c r="I5" s="5">
        <f>BlackScholesCallwithDiv($O$1,I$1,$C5,$E5,'Volatility table'!G5/100,RF!$H$1)</f>
        <v>15.636614744131549</v>
      </c>
      <c r="J5" s="5">
        <f>BlackScholesCallwithDiv($O$1,J$1,$C5,$E5,'Volatility table'!H5/100,RF!$H$1)</f>
        <v>12.813128656928889</v>
      </c>
      <c r="K5" s="5">
        <f>BlackScholesCallwithDiv($O$1,K$1,$C5,$E5,'Volatility table'!I5/100,RF!$H$1)</f>
        <v>10.06848955493161</v>
      </c>
      <c r="L5" s="5">
        <f>BlackScholesCallwithDiv($O$1,L$1,$C5,$E5,'Volatility table'!J5/100,RF!$H$1)</f>
        <v>7.4661997306134253</v>
      </c>
      <c r="M5" s="5">
        <f>BlackScholesCallwithDiv($O$1,M$1,$C5,$E5,'Volatility table'!K5/100,RF!$H$1)</f>
        <v>5.0682323890898076</v>
      </c>
      <c r="N5" s="5">
        <f>BlackScholesCallwithDiv($O$1,N$1,$C5,$E5,'Volatility table'!L5/100,RF!$H$1)</f>
        <v>3.9895126759184265</v>
      </c>
      <c r="O5" s="5">
        <f>BlackScholesCallwithDiv($O$1,O$1,$C5,$E5,'Volatility table'!M5/100,RF!$H$1)</f>
        <v>3.0165012369139923</v>
      </c>
      <c r="P5" s="5">
        <f>BlackScholesCallwithDiv($O$1,P$1,$C5,$E5,'Volatility table'!N5/100,RF!$H$1)</f>
        <v>2.1740505119536842</v>
      </c>
      <c r="Q5" s="5">
        <f>BlackScholesCallwithDiv($O$1,Q$1,$C5,$E5,'Volatility table'!O5/100,RF!$H$1)</f>
        <v>1.4854275159531909</v>
      </c>
      <c r="R5" s="5">
        <f>BlackScholesCallwithDiv($O$1,R$1,$C5,$E5,'Volatility table'!P5/100,RF!$H$1)</f>
        <v>0.59873768382143311</v>
      </c>
      <c r="S5" s="5">
        <f>BlackScholesCallwithDiv($O$1,S$1,$C5,$E5,'Volatility table'!Q5/100,RF!$H$1)</f>
        <v>0.22920327336543078</v>
      </c>
      <c r="T5" s="5">
        <f>BlackScholesCallwithDiv($O$1,T$1,$C5,$E5,'Volatility table'!R5/100,RF!$H$1)</f>
        <v>0.10054102630585726</v>
      </c>
      <c r="U5" s="5">
        <f>BlackScholesCallwithDiv($O$1,U$1,$C5,$E5,'Volatility table'!S5/100,RF!$H$1)</f>
        <v>5.3306756156297874E-2</v>
      </c>
      <c r="V5" s="5">
        <f>BlackScholesCallwithDiv($O$1,V$1,$C5,$E5,'Volatility table'!T5/100,RF!$H$1)</f>
        <v>3.2379714362140599E-2</v>
      </c>
      <c r="W5" s="5">
        <f>BlackScholesCallwithDiv($O$1,W$1,$C5,$E5,'Volatility table'!U5/100,RF!$H$1)</f>
        <v>1.4862281864271909E-2</v>
      </c>
      <c r="X5" s="5">
        <f>BlackScholesCallwithDiv($O$1,X$1,$C5,$E5,'Volatility table'!V5/100,RF!$H$1)</f>
        <v>7.8923676835511436E-3</v>
      </c>
    </row>
    <row r="6" spans="1:24" x14ac:dyDescent="0.3">
      <c r="A6" s="3" t="s">
        <v>26</v>
      </c>
      <c r="B6" s="4">
        <v>45026</v>
      </c>
      <c r="C6" s="10">
        <f t="shared" si="0"/>
        <v>0.41369863013698632</v>
      </c>
      <c r="D6" s="5">
        <v>62.1</v>
      </c>
      <c r="E6" s="12">
        <f t="shared" si="1"/>
        <v>4.9129422448755733E-2</v>
      </c>
      <c r="F6" s="5">
        <f>BlackScholesCallwithDiv($O$1,F$1,$C6,$E6,'Volatility table'!D6/100,RF!$H$1)</f>
        <v>30.33044255242228</v>
      </c>
      <c r="G6" s="5">
        <f>BlackScholesCallwithDiv($O$1,G$1,$C6,$E6,'Volatility table'!E6/100,RF!$H$1)</f>
        <v>24.425626330410395</v>
      </c>
      <c r="H6" s="5">
        <f>BlackScholesCallwithDiv($O$1,H$1,$C6,$E6,'Volatility table'!F6/100,RF!$H$1)</f>
        <v>18.614805198682738</v>
      </c>
      <c r="I6" s="5">
        <f>BlackScholesCallwithDiv($O$1,I$1,$C6,$E6,'Volatility table'!G6/100,RF!$H$1)</f>
        <v>15.779001646905428</v>
      </c>
      <c r="J6" s="5">
        <f>BlackScholesCallwithDiv($O$1,J$1,$C6,$E6,'Volatility table'!H6/100,RF!$H$1)</f>
        <v>13.012457706059884</v>
      </c>
      <c r="K6" s="5">
        <f>BlackScholesCallwithDiv($O$1,K$1,$C6,$E6,'Volatility table'!I6/100,RF!$H$1)</f>
        <v>10.337198782003959</v>
      </c>
      <c r="L6" s="5">
        <f>BlackScholesCallwithDiv($O$1,L$1,$C6,$E6,'Volatility table'!J6/100,RF!$H$1)</f>
        <v>7.8127608387198464</v>
      </c>
      <c r="M6" s="5">
        <f>BlackScholesCallwithDiv($O$1,M$1,$C6,$E6,'Volatility table'!K6/100,RF!$H$1)</f>
        <v>5.4877991337494549</v>
      </c>
      <c r="N6" s="5">
        <f>BlackScholesCallwithDiv($O$1,N$1,$C6,$E6,'Volatility table'!L6/100,RF!$H$1)</f>
        <v>4.4335482701995232</v>
      </c>
      <c r="O6" s="5">
        <f>BlackScholesCallwithDiv($O$1,O$1,$C6,$E6,'Volatility table'!M6/100,RF!$H$1)</f>
        <v>3.4681372791757923</v>
      </c>
      <c r="P6" s="5">
        <f>BlackScholesCallwithDiv($O$1,P$1,$C6,$E6,'Volatility table'!N6/100,RF!$H$1)</f>
        <v>2.6087074321238042</v>
      </c>
      <c r="Q6" s="5">
        <f>BlackScholesCallwithDiv($O$1,Q$1,$C6,$E6,'Volatility table'!O6/100,RF!$H$1)</f>
        <v>1.8732811454650182</v>
      </c>
      <c r="R6" s="5">
        <f>BlackScholesCallwithDiv($O$1,R$1,$C6,$E6,'Volatility table'!P6/100,RF!$H$1)</f>
        <v>0.82812592012376562</v>
      </c>
      <c r="S6" s="5">
        <f>BlackScholesCallwithDiv($O$1,S$1,$C6,$E6,'Volatility table'!Q6/100,RF!$H$1)</f>
        <v>0.33095681268867416</v>
      </c>
      <c r="T6" s="5">
        <f>BlackScholesCallwithDiv($O$1,T$1,$C6,$E6,'Volatility table'!R6/100,RF!$H$1)</f>
        <v>0.15522433492494159</v>
      </c>
      <c r="U6" s="5">
        <f>BlackScholesCallwithDiv($O$1,U$1,$C6,$E6,'Volatility table'!S6/100,RF!$H$1)</f>
        <v>9.1965133987274239E-2</v>
      </c>
      <c r="V6" s="5">
        <f>BlackScholesCallwithDiv($O$1,V$1,$C6,$E6,'Volatility table'!T6/100,RF!$H$1)</f>
        <v>6.2385601987022143E-2</v>
      </c>
      <c r="W6" s="5">
        <f>BlackScholesCallwithDiv($O$1,W$1,$C6,$E6,'Volatility table'!U6/100,RF!$H$1)</f>
        <v>3.4079258665125178E-2</v>
      </c>
      <c r="X6" s="5">
        <f>BlackScholesCallwithDiv($O$1,X$1,$C6,$E6,'Volatility table'!V6/100,RF!$H$1)</f>
        <v>2.0559329387610459E-2</v>
      </c>
    </row>
    <row r="7" spans="1:24" x14ac:dyDescent="0.3">
      <c r="A7" s="3" t="s">
        <v>27</v>
      </c>
      <c r="B7" s="4">
        <v>45056</v>
      </c>
      <c r="C7" s="10">
        <f t="shared" si="0"/>
        <v>0.49589041095890413</v>
      </c>
      <c r="D7" s="5">
        <v>62.366</v>
      </c>
      <c r="E7" s="12">
        <f t="shared" si="1"/>
        <v>4.9832668534462554E-2</v>
      </c>
      <c r="F7" s="5">
        <f>BlackScholesCallwithDiv($O$1,F$1,$C7,$E7,'Volatility table'!D7/100,RF!$H$1)</f>
        <v>30.328205932085702</v>
      </c>
      <c r="G7" s="5">
        <f>BlackScholesCallwithDiv($O$1,G$1,$C7,$E7,'Volatility table'!E7/100,RF!$H$1)</f>
        <v>24.474702599388017</v>
      </c>
      <c r="H7" s="5">
        <f>BlackScholesCallwithDiv($O$1,H$1,$C7,$E7,'Volatility table'!F7/100,RF!$H$1)</f>
        <v>18.739809209651945</v>
      </c>
      <c r="I7" s="5">
        <f>BlackScholesCallwithDiv($O$1,I$1,$C7,$E7,'Volatility table'!G7/100,RF!$H$1)</f>
        <v>15.954292548094621</v>
      </c>
      <c r="J7" s="5">
        <f>BlackScholesCallwithDiv($O$1,J$1,$C7,$E7,'Volatility table'!H7/100,RF!$H$1)</f>
        <v>13.246875900221717</v>
      </c>
      <c r="K7" s="5">
        <f>BlackScholesCallwithDiv($O$1,K$1,$C7,$E7,'Volatility table'!I7/100,RF!$H$1)</f>
        <v>10.638419311036792</v>
      </c>
      <c r="L7" s="5">
        <f>BlackScholesCallwithDiv($O$1,L$1,$C7,$E7,'Volatility table'!J7/100,RF!$H$1)</f>
        <v>8.1823429765325955</v>
      </c>
      <c r="M7" s="5">
        <f>BlackScholesCallwithDiv($O$1,M$1,$C7,$E7,'Volatility table'!K7/100,RF!$H$1)</f>
        <v>5.914635169358462</v>
      </c>
      <c r="N7" s="5">
        <f>BlackScholesCallwithDiv($O$1,N$1,$C7,$E7,'Volatility table'!L7/100,RF!$H$1)</f>
        <v>4.8772100167531462</v>
      </c>
      <c r="O7" s="5">
        <f>BlackScholesCallwithDiv($O$1,O$1,$C7,$E7,'Volatility table'!M7/100,RF!$H$1)</f>
        <v>3.9151559631699833</v>
      </c>
      <c r="P7" s="5">
        <f>BlackScholesCallwithDiv($O$1,P$1,$C7,$E7,'Volatility table'!N7/100,RF!$H$1)</f>
        <v>3.0402646198925503</v>
      </c>
      <c r="Q7" s="5">
        <f>BlackScholesCallwithDiv($O$1,Q$1,$C7,$E7,'Volatility table'!O7/100,RF!$H$1)</f>
        <v>2.265854436108242</v>
      </c>
      <c r="R7" s="5">
        <f>BlackScholesCallwithDiv($O$1,R$1,$C7,$E7,'Volatility table'!P7/100,RF!$H$1)</f>
        <v>1.0823360072407873</v>
      </c>
      <c r="S7" s="5">
        <f>BlackScholesCallwithDiv($O$1,S$1,$C7,$E7,'Volatility table'!Q7/100,RF!$H$1)</f>
        <v>0.48922436944001291</v>
      </c>
      <c r="T7" s="5">
        <f>BlackScholesCallwithDiv($O$1,T$1,$C7,$E7,'Volatility table'!R7/100,RF!$H$1)</f>
        <v>0.26033191914966025</v>
      </c>
      <c r="U7" s="5">
        <f>BlackScholesCallwithDiv($O$1,U$1,$C7,$E7,'Volatility table'!S7/100,RF!$H$1)</f>
        <v>0.15350563508193282</v>
      </c>
      <c r="V7" s="5">
        <f>BlackScholesCallwithDiv($O$1,V$1,$C7,$E7,'Volatility table'!T7/100,RF!$H$1)</f>
        <v>9.5756011321223244E-2</v>
      </c>
      <c r="W7" s="5">
        <f>BlackScholesCallwithDiv($O$1,W$1,$C7,$E7,'Volatility table'!U7/100,RF!$H$1)</f>
        <v>4.1017501416124258E-2</v>
      </c>
      <c r="X7" s="5">
        <f>BlackScholesCallwithDiv($O$1,X$1,$C7,$E7,'Volatility table'!V7/100,RF!$H$1)</f>
        <v>1.9152557366702627E-2</v>
      </c>
    </row>
    <row r="8" spans="1:24" x14ac:dyDescent="0.3">
      <c r="A8" s="3" t="s">
        <v>28</v>
      </c>
      <c r="B8" s="4">
        <v>45089</v>
      </c>
      <c r="C8" s="10">
        <f t="shared" si="0"/>
        <v>0.58630136986301373</v>
      </c>
      <c r="D8" s="5">
        <v>62.661000000000001</v>
      </c>
      <c r="E8" s="12">
        <f t="shared" si="1"/>
        <v>5.0409818798251793E-2</v>
      </c>
      <c r="F8" s="5">
        <f>BlackScholesCallwithDiv($O$1,F$1,$C8,$E8,'Volatility table'!D8/100,RF!$H$1)</f>
        <v>30.340120086323275</v>
      </c>
      <c r="G8" s="5">
        <f>BlackScholesCallwithDiv($O$1,G$1,$C8,$E8,'Volatility table'!E8/100,RF!$H$1)</f>
        <v>24.553568513058565</v>
      </c>
      <c r="H8" s="5">
        <f>BlackScholesCallwithDiv($O$1,H$1,$C8,$E8,'Volatility table'!F8/100,RF!$H$1)</f>
        <v>18.909297583884005</v>
      </c>
      <c r="I8" s="5">
        <f>BlackScholesCallwithDiv($O$1,I$1,$C8,$E8,'Volatility table'!G8/100,RF!$H$1)</f>
        <v>16.177706191888049</v>
      </c>
      <c r="J8" s="5">
        <f>BlackScholesCallwithDiv($O$1,J$1,$C8,$E8,'Volatility table'!H8/100,RF!$H$1)</f>
        <v>13.528361085335469</v>
      </c>
      <c r="K8" s="5">
        <f>BlackScholesCallwithDiv($O$1,K$1,$C8,$E8,'Volatility table'!I8/100,RF!$H$1)</f>
        <v>10.97891128326566</v>
      </c>
      <c r="L8" s="5">
        <f>BlackScholesCallwithDiv($O$1,L$1,$C8,$E8,'Volatility table'!J8/100,RF!$H$1)</f>
        <v>8.5765153177303759</v>
      </c>
      <c r="M8" s="5">
        <f>BlackScholesCallwithDiv($O$1,M$1,$C8,$E8,'Volatility table'!K8/100,RF!$H$1)</f>
        <v>6.3482419219815327</v>
      </c>
      <c r="N8" s="5">
        <f>BlackScholesCallwithDiv($O$1,N$1,$C8,$E8,'Volatility table'!L8/100,RF!$H$1)</f>
        <v>5.3204899244660702</v>
      </c>
      <c r="O8" s="5">
        <f>BlackScholesCallwithDiv($O$1,O$1,$C8,$E8,'Volatility table'!M8/100,RF!$H$1)</f>
        <v>4.3579335090469833</v>
      </c>
      <c r="P8" s="5">
        <f>BlackScholesCallwithDiv($O$1,P$1,$C8,$E8,'Volatility table'!N8/100,RF!$H$1)</f>
        <v>3.4694563609212601</v>
      </c>
      <c r="Q8" s="5">
        <f>BlackScholesCallwithDiv($O$1,Q$1,$C8,$E8,'Volatility table'!O8/100,RF!$H$1)</f>
        <v>2.6649062134838033</v>
      </c>
      <c r="R8" s="5">
        <f>BlackScholesCallwithDiv($O$1,R$1,$C8,$E8,'Volatility table'!P8/100,RF!$H$1)</f>
        <v>1.3600506612188834</v>
      </c>
      <c r="S8" s="5">
        <f>BlackScholesCallwithDiv($O$1,S$1,$C8,$E8,'Volatility table'!Q8/100,RF!$H$1)</f>
        <v>0.71619002813459609</v>
      </c>
      <c r="T8" s="5">
        <f>BlackScholesCallwithDiv($O$1,T$1,$C8,$E8,'Volatility table'!R8/100,RF!$H$1)</f>
        <v>0.41760773012216035</v>
      </c>
      <c r="U8" s="5">
        <f>BlackScholesCallwithDiv($O$1,U$1,$C8,$E8,'Volatility table'!S8/100,RF!$H$1)</f>
        <v>0.24494266682474519</v>
      </c>
      <c r="V8" s="5">
        <f>BlackScholesCallwithDiv($O$1,V$1,$C8,$E8,'Volatility table'!T8/100,RF!$H$1)</f>
        <v>0.14391326644860269</v>
      </c>
      <c r="W8" s="5">
        <f>BlackScholesCallwithDiv($O$1,W$1,$C8,$E8,'Volatility table'!U8/100,RF!$H$1)</f>
        <v>5.0138929391205345E-2</v>
      </c>
      <c r="X8" s="5">
        <f>BlackScholesCallwithDiv($O$1,X$1,$C8,$E8,'Volatility table'!V8/100,RF!$H$1)</f>
        <v>1.7905631995107252E-2</v>
      </c>
    </row>
    <row r="9" spans="1:24" x14ac:dyDescent="0.3">
      <c r="A9" s="3" t="s">
        <v>29</v>
      </c>
      <c r="B9" s="4">
        <v>45117</v>
      </c>
      <c r="C9" s="10">
        <f t="shared" si="0"/>
        <v>0.66301369863013704</v>
      </c>
      <c r="D9" s="5">
        <v>62.911999999999999</v>
      </c>
      <c r="E9" s="12">
        <f t="shared" si="1"/>
        <v>5.0766246969585982E-2</v>
      </c>
      <c r="F9" s="5">
        <f>BlackScholesCallwithDiv($O$1,F$1,$C9,$E9,'Volatility table'!D9/100,RF!$H$1)</f>
        <v>30.336244741120098</v>
      </c>
      <c r="G9" s="5">
        <f>BlackScholesCallwithDiv($O$1,G$1,$C9,$E9,'Volatility table'!E9/100,RF!$H$1)</f>
        <v>24.591880298631331</v>
      </c>
      <c r="H9" s="5">
        <f>BlackScholesCallwithDiv($O$1,H$1,$C9,$E9,'Volatility table'!F9/100,RF!$H$1)</f>
        <v>19.004841275061537</v>
      </c>
      <c r="I9" s="5">
        <f>BlackScholesCallwithDiv($O$1,I$1,$C9,$E9,'Volatility table'!G9/100,RF!$H$1)</f>
        <v>16.30915031327779</v>
      </c>
      <c r="J9" s="5">
        <f>BlackScholesCallwithDiv($O$1,J$1,$C9,$E9,'Volatility table'!H9/100,RF!$H$1)</f>
        <v>13.700985592038393</v>
      </c>
      <c r="K9" s="5">
        <f>BlackScholesCallwithDiv($O$1,K$1,$C9,$E9,'Volatility table'!I9/100,RF!$H$1)</f>
        <v>11.198007143436058</v>
      </c>
      <c r="L9" s="5">
        <f>BlackScholesCallwithDiv($O$1,L$1,$C9,$E9,'Volatility table'!J9/100,RF!$H$1)</f>
        <v>8.8455499394726402</v>
      </c>
      <c r="M9" s="5">
        <f>BlackScholesCallwithDiv($O$1,M$1,$C9,$E9,'Volatility table'!K9/100,RF!$H$1)</f>
        <v>6.6672491077489937</v>
      </c>
      <c r="N9" s="5">
        <f>BlackScholesCallwithDiv($O$1,N$1,$C9,$E9,'Volatility table'!L9/100,RF!$H$1)</f>
        <v>5.6623928169921491</v>
      </c>
      <c r="O9" s="5">
        <f>BlackScholesCallwithDiv($O$1,O$1,$C9,$E9,'Volatility table'!M9/100,RF!$H$1)</f>
        <v>4.7198094781673738</v>
      </c>
      <c r="P9" s="5">
        <f>BlackScholesCallwithDiv($O$1,P$1,$C9,$E9,'Volatility table'!N9/100,RF!$H$1)</f>
        <v>3.8465766797184422</v>
      </c>
      <c r="Q9" s="5">
        <f>BlackScholesCallwithDiv($O$1,Q$1,$C9,$E9,'Volatility table'!O9/100,RF!$H$1)</f>
        <v>3.0496170374628413</v>
      </c>
      <c r="R9" s="5">
        <f>BlackScholesCallwithDiv($O$1,R$1,$C9,$E9,'Volatility table'!P9/100,RF!$H$1)</f>
        <v>1.7176289520939747</v>
      </c>
      <c r="S9" s="5">
        <f>BlackScholesCallwithDiv($O$1,S$1,$C9,$E9,'Volatility table'!Q9/100,RF!$H$1)</f>
        <v>0.86763622615526259</v>
      </c>
      <c r="T9" s="5">
        <f>BlackScholesCallwithDiv($O$1,T$1,$C9,$E9,'Volatility table'!R9/100,RF!$H$1)</f>
        <v>0.48136168959988446</v>
      </c>
      <c r="U9" s="5">
        <f>BlackScholesCallwithDiv($O$1,U$1,$C9,$E9,'Volatility table'!S9/100,RF!$H$1)</f>
        <v>0.29233334471554073</v>
      </c>
      <c r="V9" s="5">
        <f>BlackScholesCallwithDiv($O$1,V$1,$C9,$E9,'Volatility table'!T9/100,RF!$H$1)</f>
        <v>0.18004456320364604</v>
      </c>
      <c r="W9" s="5">
        <f>BlackScholesCallwithDiv($O$1,W$1,$C9,$E9,'Volatility table'!U9/100,RF!$H$1)</f>
        <v>7.0018979004584425E-2</v>
      </c>
      <c r="X9" s="5">
        <f>BlackScholesCallwithDiv($O$1,X$1,$C9,$E9,'Volatility table'!V9/100,RF!$H$1)</f>
        <v>2.822372570598819E-2</v>
      </c>
    </row>
    <row r="10" spans="1:24" x14ac:dyDescent="0.3">
      <c r="A10" s="3" t="s">
        <v>30</v>
      </c>
      <c r="B10" s="4">
        <v>45148</v>
      </c>
      <c r="C10" s="10">
        <f t="shared" si="0"/>
        <v>0.74794520547945209</v>
      </c>
      <c r="D10" s="5">
        <v>63.19</v>
      </c>
      <c r="E10" s="12">
        <f t="shared" si="1"/>
        <v>5.1051976324163695E-2</v>
      </c>
      <c r="F10" s="5">
        <f>BlackScholesCallwithDiv($O$1,F$1,$C10,$E10,'Volatility table'!D10/100,RF!$H$1)</f>
        <v>30.342245009735439</v>
      </c>
      <c r="G10" s="5">
        <f>BlackScholesCallwithDiv($O$1,G$1,$C10,$E10,'Volatility table'!E10/100,RF!$H$1)</f>
        <v>24.650732551198956</v>
      </c>
      <c r="H10" s="5">
        <f>BlackScholesCallwithDiv($O$1,H$1,$C10,$E10,'Volatility table'!F10/100,RF!$H$1)</f>
        <v>19.129239354093265</v>
      </c>
      <c r="I10" s="5">
        <f>BlackScholesCallwithDiv($O$1,I$1,$C10,$E10,'Volatility table'!G10/100,RF!$H$1)</f>
        <v>16.470219684598206</v>
      </c>
      <c r="J10" s="5">
        <f>BlackScholesCallwithDiv($O$1,J$1,$C10,$E10,'Volatility table'!H10/100,RF!$H$1)</f>
        <v>13.900233193760911</v>
      </c>
      <c r="K10" s="5">
        <f>BlackScholesCallwithDiv($O$1,K$1,$C10,$E10,'Volatility table'!I10/100,RF!$H$1)</f>
        <v>11.435247589357303</v>
      </c>
      <c r="L10" s="5">
        <f>BlackScholesCallwithDiv($O$1,L$1,$C10,$E10,'Volatility table'!J10/100,RF!$H$1)</f>
        <v>9.1178471713798714</v>
      </c>
      <c r="M10" s="5">
        <f>BlackScholesCallwithDiv($O$1,M$1,$C10,$E10,'Volatility table'!K10/100,RF!$H$1)</f>
        <v>6.9678151923283451</v>
      </c>
      <c r="N10" s="5">
        <f>BlackScholesCallwithDiv($O$1,N$1,$C10,$E10,'Volatility table'!L10/100,RF!$H$1)</f>
        <v>5.9727457923016374</v>
      </c>
      <c r="O10" s="5">
        <f>BlackScholesCallwithDiv($O$1,O$1,$C10,$E10,'Volatility table'!M10/100,RF!$H$1)</f>
        <v>5.0364034552313726</v>
      </c>
      <c r="P10" s="5">
        <f>BlackScholesCallwithDiv($O$1,P$1,$C10,$E10,'Volatility table'!N10/100,RF!$H$1)</f>
        <v>4.1642827399931726</v>
      </c>
      <c r="Q10" s="5">
        <f>BlackScholesCallwithDiv($O$1,Q$1,$C10,$E10,'Volatility table'!O10/100,RF!$H$1)</f>
        <v>3.3628070796148393</v>
      </c>
      <c r="R10" s="5">
        <f>BlackScholesCallwithDiv($O$1,R$1,$C10,$E10,'Volatility table'!P10/100,RF!$H$1)</f>
        <v>1.9961701030282093</v>
      </c>
      <c r="S10" s="5">
        <f>BlackScholesCallwithDiv($O$1,S$1,$C10,$E10,'Volatility table'!Q10/100,RF!$H$1)</f>
        <v>1.0188607616258647</v>
      </c>
      <c r="T10" s="5">
        <f>BlackScholesCallwithDiv($O$1,T$1,$C10,$E10,'Volatility table'!R10/100,RF!$H$1)</f>
        <v>0.57843356599799112</v>
      </c>
      <c r="U10" s="5">
        <f>BlackScholesCallwithDiv($O$1,U$1,$C10,$E10,'Volatility table'!S10/100,RF!$H$1)</f>
        <v>0.36062061402396584</v>
      </c>
      <c r="V10" s="5">
        <f>BlackScholesCallwithDiv($O$1,V$1,$C10,$E10,'Volatility table'!T10/100,RF!$H$1)</f>
        <v>0.22790842598505634</v>
      </c>
      <c r="W10" s="5">
        <f>BlackScholesCallwithDiv($O$1,W$1,$C10,$E10,'Volatility table'!U10/100,RF!$H$1)</f>
        <v>9.2991174512391694E-2</v>
      </c>
      <c r="X10" s="5">
        <f>BlackScholesCallwithDiv($O$1,X$1,$C10,$E10,'Volatility table'!V10/100,RF!$H$1)</f>
        <v>3.9137503208553914E-2</v>
      </c>
    </row>
    <row r="11" spans="1:24" x14ac:dyDescent="0.3">
      <c r="A11" s="3" t="s">
        <v>31</v>
      </c>
      <c r="B11" s="4">
        <v>45180</v>
      </c>
      <c r="C11" s="10">
        <f t="shared" si="0"/>
        <v>0.83561643835616439</v>
      </c>
      <c r="D11" s="5">
        <v>63.472999999999999</v>
      </c>
      <c r="E11" s="12">
        <f t="shared" si="1"/>
        <v>5.1181881202305712E-2</v>
      </c>
      <c r="F11" s="5">
        <f>BlackScholesCallwithDiv($O$1,F$1,$C11,$E11,'Volatility table'!D11/100,RF!$H$1)</f>
        <v>30.35770786264149</v>
      </c>
      <c r="G11" s="5">
        <f>BlackScholesCallwithDiv($O$1,G$1,$C11,$E11,'Volatility table'!E11/100,RF!$H$1)</f>
        <v>24.7253118961819</v>
      </c>
      <c r="H11" s="5">
        <f>BlackScholesCallwithDiv($O$1,H$1,$C11,$E11,'Volatility table'!F11/100,RF!$H$1)</f>
        <v>19.271747527245772</v>
      </c>
      <c r="I11" s="5">
        <f>BlackScholesCallwithDiv($O$1,I$1,$C11,$E11,'Volatility table'!G11/100,RF!$H$1)</f>
        <v>16.647654300087638</v>
      </c>
      <c r="J11" s="5">
        <f>BlackScholesCallwithDiv($O$1,J$1,$C11,$E11,'Volatility table'!H11/100,RF!$H$1)</f>
        <v>14.1111244767689</v>
      </c>
      <c r="K11" s="5">
        <f>BlackScholesCallwithDiv($O$1,K$1,$C11,$E11,'Volatility table'!I11/100,RF!$H$1)</f>
        <v>11.675919541282624</v>
      </c>
      <c r="L11" s="5">
        <f>BlackScholesCallwithDiv($O$1,L$1,$C11,$E11,'Volatility table'!J11/100,RF!$H$1)</f>
        <v>9.3811571482524414</v>
      </c>
      <c r="M11" s="5">
        <f>BlackScholesCallwithDiv($O$1,M$1,$C11,$E11,'Volatility table'!K11/100,RF!$H$1)</f>
        <v>7.243596613811718</v>
      </c>
      <c r="N11" s="5">
        <f>BlackScholesCallwithDiv($O$1,N$1,$C11,$E11,'Volatility table'!L11/100,RF!$H$1)</f>
        <v>6.2494606174037344</v>
      </c>
      <c r="O11" s="5">
        <f>BlackScholesCallwithDiv($O$1,O$1,$C11,$E11,'Volatility table'!M11/100,RF!$H$1)</f>
        <v>5.3099677029887076</v>
      </c>
      <c r="P11" s="5">
        <f>BlackScholesCallwithDiv($O$1,P$1,$C11,$E11,'Volatility table'!N11/100,RF!$H$1)</f>
        <v>4.4299161748330249</v>
      </c>
      <c r="Q11" s="5">
        <f>BlackScholesCallwithDiv($O$1,Q$1,$C11,$E11,'Volatility table'!O11/100,RF!$H$1)</f>
        <v>3.6155800896271586</v>
      </c>
      <c r="R11" s="5">
        <f>BlackScholesCallwithDiv($O$1,R$1,$C11,$E11,'Volatility table'!P11/100,RF!$H$1)</f>
        <v>2.2062175128355932</v>
      </c>
      <c r="S11" s="5">
        <f>BlackScholesCallwithDiv($O$1,S$1,$C11,$E11,'Volatility table'!Q11/100,RF!$H$1)</f>
        <v>1.1691840688319513</v>
      </c>
      <c r="T11" s="5">
        <f>BlackScholesCallwithDiv($O$1,T$1,$C11,$E11,'Volatility table'!R11/100,RF!$H$1)</f>
        <v>0.703934578901249</v>
      </c>
      <c r="U11" s="5">
        <f>BlackScholesCallwithDiv($O$1,U$1,$C11,$E11,'Volatility table'!S11/100,RF!$H$1)</f>
        <v>0.44760235468650933</v>
      </c>
      <c r="V11" s="5">
        <f>BlackScholesCallwithDiv($O$1,V$1,$C11,$E11,'Volatility table'!T11/100,RF!$H$1)</f>
        <v>0.28591276426448342</v>
      </c>
      <c r="W11" s="5">
        <f>BlackScholesCallwithDiv($O$1,W$1,$C11,$E11,'Volatility table'!U11/100,RF!$H$1)</f>
        <v>0.1171962027492206</v>
      </c>
      <c r="X11" s="5">
        <f>BlackScholesCallwithDiv($O$1,X$1,$C11,$E11,'Volatility table'!V11/100,RF!$H$1)</f>
        <v>4.8799576190914129E-2</v>
      </c>
    </row>
    <row r="12" spans="1:24" x14ac:dyDescent="0.3">
      <c r="A12" s="3" t="s">
        <v>32</v>
      </c>
      <c r="B12" s="4">
        <v>45209</v>
      </c>
      <c r="C12" s="10">
        <f t="shared" si="0"/>
        <v>0.91506849315068495</v>
      </c>
      <c r="D12" s="5">
        <v>63.725999999999999</v>
      </c>
      <c r="E12" s="12">
        <f t="shared" si="1"/>
        <v>5.1195854781055816E-2</v>
      </c>
      <c r="F12" s="5">
        <f>BlackScholesCallwithDiv($O$1,F$1,$C12,$E12,'Volatility table'!D12/100,RF!$H$1)</f>
        <v>30.373205712790487</v>
      </c>
      <c r="G12" s="5">
        <f>BlackScholesCallwithDiv($O$1,G$1,$C12,$E12,'Volatility table'!E12/100,RF!$H$1)</f>
        <v>24.793328149118199</v>
      </c>
      <c r="H12" s="5">
        <f>BlackScholesCallwithDiv($O$1,H$1,$C12,$E12,'Volatility table'!F12/100,RF!$H$1)</f>
        <v>19.398301831328567</v>
      </c>
      <c r="I12" s="5">
        <f>BlackScholesCallwithDiv($O$1,I$1,$C12,$E12,'Volatility table'!G12/100,RF!$H$1)</f>
        <v>16.803631121439601</v>
      </c>
      <c r="J12" s="5">
        <f>BlackScholesCallwithDiv($O$1,J$1,$C12,$E12,'Volatility table'!H12/100,RF!$H$1)</f>
        <v>14.294903085975463</v>
      </c>
      <c r="K12" s="5">
        <f>BlackScholesCallwithDiv($O$1,K$1,$C12,$E12,'Volatility table'!I12/100,RF!$H$1)</f>
        <v>11.883994979066806</v>
      </c>
      <c r="L12" s="5">
        <f>BlackScholesCallwithDiv($O$1,L$1,$C12,$E12,'Volatility table'!J12/100,RF!$H$1)</f>
        <v>9.6077677344934287</v>
      </c>
      <c r="M12" s="5">
        <f>BlackScholesCallwithDiv($O$1,M$1,$C12,$E12,'Volatility table'!K12/100,RF!$H$1)</f>
        <v>7.4801252360321762</v>
      </c>
      <c r="N12" s="5">
        <f>BlackScholesCallwithDiv($O$1,N$1,$C12,$E12,'Volatility table'!L12/100,RF!$H$1)</f>
        <v>6.4868629107638114</v>
      </c>
      <c r="O12" s="5">
        <f>BlackScholesCallwithDiv($O$1,O$1,$C12,$E12,'Volatility table'!M12/100,RF!$H$1)</f>
        <v>5.5447726891210678</v>
      </c>
      <c r="P12" s="5">
        <f>BlackScholesCallwithDiv($O$1,P$1,$C12,$E12,'Volatility table'!N12/100,RF!$H$1)</f>
        <v>4.6584738252928695</v>
      </c>
      <c r="Q12" s="5">
        <f>BlackScholesCallwithDiv($O$1,Q$1,$C12,$E12,'Volatility table'!O12/100,RF!$H$1)</f>
        <v>3.8337256598288398</v>
      </c>
      <c r="R12" s="5">
        <f>BlackScholesCallwithDiv($O$1,R$1,$C12,$E12,'Volatility table'!P12/100,RF!$H$1)</f>
        <v>2.3901621608360841</v>
      </c>
      <c r="S12" s="5">
        <f>BlackScholesCallwithDiv($O$1,S$1,$C12,$E12,'Volatility table'!Q12/100,RF!$H$1)</f>
        <v>1.3040870754600142</v>
      </c>
      <c r="T12" s="5">
        <f>BlackScholesCallwithDiv($O$1,T$1,$C12,$E12,'Volatility table'!R12/100,RF!$H$1)</f>
        <v>0.82002625949456132</v>
      </c>
      <c r="U12" s="5">
        <f>BlackScholesCallwithDiv($O$1,U$1,$C12,$E12,'Volatility table'!S12/100,RF!$H$1)</f>
        <v>0.5301661461529239</v>
      </c>
      <c r="V12" s="5">
        <f>BlackScholesCallwithDiv($O$1,V$1,$C12,$E12,'Volatility table'!T12/100,RF!$H$1)</f>
        <v>0.34216153875708333</v>
      </c>
      <c r="W12" s="5">
        <f>BlackScholesCallwithDiv($O$1,W$1,$C12,$E12,'Volatility table'!U12/100,RF!$H$1)</f>
        <v>0.14151881100429264</v>
      </c>
      <c r="X12" s="5">
        <f>BlackScholesCallwithDiv($O$1,X$1,$C12,$E12,'Volatility table'!V12/100,RF!$H$1)</f>
        <v>5.8625921489961597E-2</v>
      </c>
    </row>
    <row r="13" spans="1:24" x14ac:dyDescent="0.3">
      <c r="A13" s="3" t="s">
        <v>33</v>
      </c>
      <c r="B13" s="4">
        <v>45240</v>
      </c>
      <c r="C13" s="10">
        <f t="shared" si="0"/>
        <v>1</v>
      </c>
      <c r="D13" s="5">
        <v>63.993000000000002</v>
      </c>
      <c r="E13" s="12">
        <f t="shared" si="1"/>
        <v>5.1133377135348157E-2</v>
      </c>
      <c r="F13" s="5">
        <f>BlackScholesCallwithDiv($O$1,F$1,$C13,$E13,'Volatility table'!D13/100,RF!$H$1)</f>
        <v>30.39098407281352</v>
      </c>
      <c r="G13" s="5">
        <f>BlackScholesCallwithDiv($O$1,G$1,$C13,$E13,'Volatility table'!E13/100,RF!$H$1)</f>
        <v>24.86602328429203</v>
      </c>
      <c r="H13" s="5">
        <f>BlackScholesCallwithDiv($O$1,H$1,$C13,$E13,'Volatility table'!F13/100,RF!$H$1)</f>
        <v>19.530557101743376</v>
      </c>
      <c r="I13" s="5">
        <f>BlackScholesCallwithDiv($O$1,I$1,$C13,$E13,'Volatility table'!G13/100,RF!$H$1)</f>
        <v>16.965255612524565</v>
      </c>
      <c r="J13" s="5">
        <f>BlackScholesCallwithDiv($O$1,J$1,$C13,$E13,'Volatility table'!H13/100,RF!$H$1)</f>
        <v>14.483818269716785</v>
      </c>
      <c r="K13" s="5">
        <f>BlackScholesCallwithDiv($O$1,K$1,$C13,$E13,'Volatility table'!I13/100,RF!$H$1)</f>
        <v>12.096773734229522</v>
      </c>
      <c r="L13" s="5">
        <f>BlackScholesCallwithDiv($O$1,L$1,$C13,$E13,'Volatility table'!J13/100,RF!$H$1)</f>
        <v>9.8383236678525492</v>
      </c>
      <c r="M13" s="5">
        <f>BlackScholesCallwithDiv($O$1,M$1,$C13,$E13,'Volatility table'!K13/100,RF!$H$1)</f>
        <v>7.720231513811413</v>
      </c>
      <c r="N13" s="5">
        <f>BlackScholesCallwithDiv($O$1,N$1,$C13,$E13,'Volatility table'!L13/100,RF!$H$1)</f>
        <v>6.7279524816573932</v>
      </c>
      <c r="O13" s="5">
        <f>BlackScholesCallwithDiv($O$1,O$1,$C13,$E13,'Volatility table'!M13/100,RF!$H$1)</f>
        <v>5.7832876004154947</v>
      </c>
      <c r="P13" s="5">
        <f>BlackScholesCallwithDiv($O$1,P$1,$C13,$E13,'Volatility table'!N13/100,RF!$H$1)</f>
        <v>4.8914039570480128</v>
      </c>
      <c r="Q13" s="5">
        <f>BlackScholesCallwithDiv($O$1,Q$1,$C13,$E13,'Volatility table'!O13/100,RF!$H$1)</f>
        <v>4.0568365477118142</v>
      </c>
      <c r="R13" s="5">
        <f>BlackScholesCallwithDiv($O$1,R$1,$C13,$E13,'Volatility table'!P13/100,RF!$H$1)</f>
        <v>2.5803643271201366</v>
      </c>
      <c r="S13" s="5">
        <f>BlackScholesCallwithDiv($O$1,S$1,$C13,$E13,'Volatility table'!Q13/100,RF!$H$1)</f>
        <v>1.446819719547209</v>
      </c>
      <c r="T13" s="5">
        <f>BlackScholesCallwithDiv($O$1,T$1,$C13,$E13,'Volatility table'!R13/100,RF!$H$1)</f>
        <v>0.94534885426480209</v>
      </c>
      <c r="U13" s="5">
        <f>BlackScholesCallwithDiv($O$1,U$1,$C13,$E13,'Volatility table'!S13/100,RF!$H$1)</f>
        <v>0.6214925471739452</v>
      </c>
      <c r="V13" s="5">
        <f>BlackScholesCallwithDiv($O$1,V$1,$C13,$E13,'Volatility table'!T13/100,RF!$H$1)</f>
        <v>0.40571626536403649</v>
      </c>
      <c r="W13" s="5">
        <f>BlackScholesCallwithDiv($O$1,W$1,$C13,$E13,'Volatility table'!U13/100,RF!$H$1)</f>
        <v>0.16973316327890009</v>
      </c>
      <c r="X13" s="5">
        <f>BlackScholesCallwithDiv($O$1,X$1,$C13,$E13,'Volatility table'!V13/100,RF!$H$1)</f>
        <v>7.023882002985915E-2</v>
      </c>
    </row>
    <row r="14" spans="1:24" x14ac:dyDescent="0.3">
      <c r="A14" s="3" t="s">
        <v>34</v>
      </c>
      <c r="B14" s="4">
        <v>45271</v>
      </c>
      <c r="C14" s="10">
        <f t="shared" si="0"/>
        <v>1.0849315068493151</v>
      </c>
      <c r="D14" s="5">
        <v>64.254000000000005</v>
      </c>
      <c r="E14" s="12">
        <f t="shared" si="1"/>
        <v>5.0973362712654513E-2</v>
      </c>
      <c r="F14" s="5">
        <f>BlackScholesCallwithDiv($O$1,F$1,$C14,$E14,'Volatility table'!D14/100,RF!$H$1)</f>
        <v>30.408558602185764</v>
      </c>
      <c r="G14" s="5">
        <f>BlackScholesCallwithDiv($O$1,G$1,$C14,$E14,'Volatility table'!E14/100,RF!$H$1)</f>
        <v>24.936892785201465</v>
      </c>
      <c r="H14" s="5">
        <f>BlackScholesCallwithDiv($O$1,H$1,$C14,$E14,'Volatility table'!F14/100,RF!$H$1)</f>
        <v>19.657882912513209</v>
      </c>
      <c r="I14" s="5">
        <f>BlackScholesCallwithDiv($O$1,I$1,$C14,$E14,'Volatility table'!G14/100,RF!$H$1)</f>
        <v>17.119902105195159</v>
      </c>
      <c r="J14" s="5">
        <f>BlackScholesCallwithDiv($O$1,J$1,$C14,$E14,'Volatility table'!H14/100,RF!$H$1)</f>
        <v>14.663857676758006</v>
      </c>
      <c r="K14" s="5">
        <f>BlackScholesCallwithDiv($O$1,K$1,$C14,$E14,'Volatility table'!I14/100,RF!$H$1)</f>
        <v>12.298611443286923</v>
      </c>
      <c r="L14" s="5">
        <f>BlackScholesCallwithDiv($O$1,L$1,$C14,$E14,'Volatility table'!J14/100,RF!$H$1)</f>
        <v>10.056644296209214</v>
      </c>
      <c r="M14" s="5">
        <f>BlackScholesCallwithDiv($O$1,M$1,$C14,$E14,'Volatility table'!K14/100,RF!$H$1)</f>
        <v>7.9474013150399898</v>
      </c>
      <c r="N14" s="5">
        <f>BlackScholesCallwithDiv($O$1,N$1,$C14,$E14,'Volatility table'!L14/100,RF!$H$1)</f>
        <v>6.9558358848628146</v>
      </c>
      <c r="O14" s="5">
        <f>BlackScholesCallwithDiv($O$1,O$1,$C14,$E14,'Volatility table'!M14/100,RF!$H$1)</f>
        <v>6.0093242415340171</v>
      </c>
      <c r="P14" s="5">
        <f>BlackScholesCallwithDiv($O$1,P$1,$C14,$E14,'Volatility table'!N14/100,RF!$H$1)</f>
        <v>5.1120326470772106</v>
      </c>
      <c r="Q14" s="5">
        <f>BlackScholesCallwithDiv($O$1,Q$1,$C14,$E14,'Volatility table'!O14/100,RF!$H$1)</f>
        <v>4.2689122094691996</v>
      </c>
      <c r="R14" s="5">
        <f>BlackScholesCallwithDiv($O$1,R$1,$C14,$E14,'Volatility table'!P14/100,RF!$H$1)</f>
        <v>2.7631438899993377</v>
      </c>
      <c r="S14" s="5">
        <f>BlackScholesCallwithDiv($O$1,S$1,$C14,$E14,'Volatility table'!Q14/100,RF!$H$1)</f>
        <v>1.5866092933587623</v>
      </c>
      <c r="T14" s="5">
        <f>BlackScholesCallwithDiv($O$1,T$1,$C14,$E14,'Volatility table'!R14/100,RF!$H$1)</f>
        <v>1.0708516903543988</v>
      </c>
      <c r="U14" s="5">
        <f>BlackScholesCallwithDiv($O$1,U$1,$C14,$E14,'Volatility table'!S14/100,RF!$H$1)</f>
        <v>0.71499975404447813</v>
      </c>
      <c r="V14" s="5">
        <f>BlackScholesCallwithDiv($O$1,V$1,$C14,$E14,'Volatility table'!T14/100,RF!$H$1)</f>
        <v>0.4719232822106223</v>
      </c>
      <c r="W14" s="5">
        <f>BlackScholesCallwithDiv($O$1,W$1,$C14,$E14,'Volatility table'!U14/100,RF!$H$1)</f>
        <v>0.2000949867790438</v>
      </c>
      <c r="X14" s="5">
        <f>BlackScholesCallwithDiv($O$1,X$1,$C14,$E14,'Volatility table'!V14/100,RF!$H$1)</f>
        <v>8.2916867789890381E-2</v>
      </c>
    </row>
    <row r="15" spans="1:24" x14ac:dyDescent="0.3">
      <c r="A15" s="3" t="s">
        <v>35</v>
      </c>
      <c r="B15" s="4">
        <v>45301</v>
      </c>
      <c r="C15" s="10">
        <f t="shared" si="0"/>
        <v>1.167123287671233</v>
      </c>
      <c r="D15" s="5">
        <v>64.501999999999995</v>
      </c>
      <c r="E15" s="12">
        <f t="shared" si="1"/>
        <v>5.0762621077788062E-2</v>
      </c>
      <c r="F15" s="5">
        <f>BlackScholesCallwithDiv($O$1,F$1,$C15,$E15,'Volatility table'!D15/100,RF!$H$1)</f>
        <v>30.440130072625269</v>
      </c>
      <c r="G15" s="5">
        <f>BlackScholesCallwithDiv($O$1,G$1,$C15,$E15,'Volatility table'!E15/100,RF!$H$1)</f>
        <v>25.035799504756493</v>
      </c>
      <c r="H15" s="5">
        <f>BlackScholesCallwithDiv($O$1,H$1,$C15,$E15,'Volatility table'!F15/100,RF!$H$1)</f>
        <v>19.837746586684027</v>
      </c>
      <c r="I15" s="5">
        <f>BlackScholesCallwithDiv($O$1,I$1,$C15,$E15,'Volatility table'!G15/100,RF!$H$1)</f>
        <v>17.344428507479215</v>
      </c>
      <c r="J15" s="5">
        <f>BlackScholesCallwithDiv($O$1,J$1,$C15,$E15,'Volatility table'!H15/100,RF!$H$1)</f>
        <v>14.934963593328185</v>
      </c>
      <c r="K15" s="5">
        <f>BlackScholesCallwithDiv($O$1,K$1,$C15,$E15,'Volatility table'!I15/100,RF!$H$1)</f>
        <v>12.617124915792253</v>
      </c>
      <c r="L15" s="5">
        <f>BlackScholesCallwithDiv($O$1,L$1,$C15,$E15,'Volatility table'!J15/100,RF!$H$1)</f>
        <v>10.421332598524756</v>
      </c>
      <c r="M15" s="5">
        <f>BlackScholesCallwithDiv($O$1,M$1,$C15,$E15,'Volatility table'!K15/100,RF!$H$1)</f>
        <v>8.3546326062319629</v>
      </c>
      <c r="N15" s="5">
        <f>BlackScholesCallwithDiv($O$1,N$1,$C15,$E15,'Volatility table'!L15/100,RF!$H$1)</f>
        <v>7.3815266955366212</v>
      </c>
      <c r="O15" s="5">
        <f>BlackScholesCallwithDiv($O$1,O$1,$C15,$E15,'Volatility table'!M15/100,RF!$H$1)</f>
        <v>6.4510777449726007</v>
      </c>
      <c r="P15" s="5">
        <f>BlackScholesCallwithDiv($O$1,P$1,$C15,$E15,'Volatility table'!N15/100,RF!$H$1)</f>
        <v>5.5667906500109332</v>
      </c>
      <c r="Q15" s="5">
        <f>BlackScholesCallwithDiv($O$1,Q$1,$C15,$E15,'Volatility table'!O15/100,RF!$H$1)</f>
        <v>4.7320065048790241</v>
      </c>
      <c r="R15" s="5">
        <f>BlackScholesCallwithDiv($O$1,R$1,$C15,$E15,'Volatility table'!P15/100,RF!$H$1)</f>
        <v>3.2256510730286791</v>
      </c>
      <c r="S15" s="5">
        <f>BlackScholesCallwithDiv($O$1,S$1,$C15,$E15,'Volatility table'!Q15/100,RF!$H$1)</f>
        <v>1.9851616628475153</v>
      </c>
      <c r="T15" s="5">
        <f>BlackScholesCallwithDiv($O$1,T$1,$C15,$E15,'Volatility table'!R15/100,RF!$H$1)</f>
        <v>1.1197615604946929</v>
      </c>
      <c r="U15" s="5">
        <f>BlackScholesCallwithDiv($O$1,U$1,$C15,$E15,'Volatility table'!S15/100,RF!$H$1)</f>
        <v>0.73954938705805162</v>
      </c>
      <c r="V15" s="5">
        <f>BlackScholesCallwithDiv($O$1,V$1,$C15,$E15,'Volatility table'!T15/100,RF!$H$1)</f>
        <v>0.49459692235294828</v>
      </c>
      <c r="W15" s="5">
        <f>BlackScholesCallwithDiv($O$1,W$1,$C15,$E15,'Volatility table'!U15/100,RF!$H$1)</f>
        <v>0.21646876865861708</v>
      </c>
      <c r="X15" s="5">
        <f>BlackScholesCallwithDiv($O$1,X$1,$C15,$E15,'Volatility table'!V15/100,RF!$H$1)</f>
        <v>9.3350068168731593E-2</v>
      </c>
    </row>
    <row r="16" spans="1:24" x14ac:dyDescent="0.3">
      <c r="A16" s="3" t="s">
        <v>36</v>
      </c>
      <c r="B16" s="4">
        <v>45334</v>
      </c>
      <c r="C16" s="10">
        <f t="shared" si="0"/>
        <v>1.2575342465753425</v>
      </c>
      <c r="D16" s="5">
        <v>64.77</v>
      </c>
      <c r="E16" s="12">
        <f t="shared" si="1"/>
        <v>5.0486495579893154E-2</v>
      </c>
      <c r="F16" s="5">
        <f>BlackScholesCallwithDiv($O$1,F$1,$C16,$E16,'Volatility table'!D16/100,RF!$H$1)</f>
        <v>30.463013015944135</v>
      </c>
      <c r="G16" s="5">
        <f>BlackScholesCallwithDiv($O$1,G$1,$C16,$E16,'Volatility table'!E16/100,RF!$H$1)</f>
        <v>25.117293685047891</v>
      </c>
      <c r="H16" s="5">
        <f>BlackScholesCallwithDiv($O$1,H$1,$C16,$E16,'Volatility table'!F16/100,RF!$H$1)</f>
        <v>19.981928840410248</v>
      </c>
      <c r="I16" s="5">
        <f>BlackScholesCallwithDiv($O$1,I$1,$C16,$E16,'Volatility table'!G16/100,RF!$H$1)</f>
        <v>17.519838589343038</v>
      </c>
      <c r="J16" s="5">
        <f>BlackScholesCallwithDiv($O$1,J$1,$C16,$E16,'Volatility table'!H16/100,RF!$H$1)</f>
        <v>15.140355110099463</v>
      </c>
      <c r="K16" s="5">
        <f>BlackScholesCallwithDiv($O$1,K$1,$C16,$E16,'Volatility table'!I16/100,RF!$H$1)</f>
        <v>12.850489770455681</v>
      </c>
      <c r="L16" s="5">
        <f>BlackScholesCallwithDiv($O$1,L$1,$C16,$E16,'Volatility table'!J16/100,RF!$H$1)</f>
        <v>10.678105901594801</v>
      </c>
      <c r="M16" s="5">
        <f>BlackScholesCallwithDiv($O$1,M$1,$C16,$E16,'Volatility table'!K16/100,RF!$H$1)</f>
        <v>8.6295324365659205</v>
      </c>
      <c r="N16" s="5">
        <f>BlackScholesCallwithDiv($O$1,N$1,$C16,$E16,'Volatility table'!L16/100,RF!$H$1)</f>
        <v>7.6627459132985081</v>
      </c>
      <c r="O16" s="5">
        <f>BlackScholesCallwithDiv($O$1,O$1,$C16,$E16,'Volatility table'!M16/100,RF!$H$1)</f>
        <v>6.736135782701492</v>
      </c>
      <c r="P16" s="5">
        <f>BlackScholesCallwithDiv($O$1,P$1,$C16,$E16,'Volatility table'!N16/100,RF!$H$1)</f>
        <v>5.8530786892738185</v>
      </c>
      <c r="Q16" s="5">
        <f>BlackScholesCallwithDiv($O$1,Q$1,$C16,$E16,'Volatility table'!O16/100,RF!$H$1)</f>
        <v>5.0167581091426712</v>
      </c>
      <c r="R16" s="5">
        <f>BlackScholesCallwithDiv($O$1,R$1,$C16,$E16,'Volatility table'!P16/100,RF!$H$1)</f>
        <v>3.4967126648795386</v>
      </c>
      <c r="S16" s="5">
        <f>BlackScholesCallwithDiv($O$1,S$1,$C16,$E16,'Volatility table'!Q16/100,RF!$H$1)</f>
        <v>2.2159294084100871</v>
      </c>
      <c r="T16" s="5">
        <f>BlackScholesCallwithDiv($O$1,T$1,$C16,$E16,'Volatility table'!R16/100,RF!$H$1)</f>
        <v>1.2117802854139885</v>
      </c>
      <c r="U16" s="5">
        <f>BlackScholesCallwithDiv($O$1,U$1,$C16,$E16,'Volatility table'!S16/100,RF!$H$1)</f>
        <v>0.80976882183779431</v>
      </c>
      <c r="V16" s="5">
        <f>BlackScholesCallwithDiv($O$1,V$1,$C16,$E16,'Volatility table'!T16/100,RF!$H$1)</f>
        <v>0.55023670768119448</v>
      </c>
      <c r="W16" s="5">
        <f>BlackScholesCallwithDiv($O$1,W$1,$C16,$E16,'Volatility table'!U16/100,RF!$H$1)</f>
        <v>0.24922718802376975</v>
      </c>
      <c r="X16" s="5">
        <f>BlackScholesCallwithDiv($O$1,X$1,$C16,$E16,'Volatility table'!V16/100,RF!$H$1)</f>
        <v>0.11140154630527221</v>
      </c>
    </row>
    <row r="17" spans="1:24" x14ac:dyDescent="0.3">
      <c r="A17" s="3" t="s">
        <v>37</v>
      </c>
      <c r="B17" s="4">
        <v>45362</v>
      </c>
      <c r="C17" s="10">
        <f t="shared" si="0"/>
        <v>1.3342465753424657</v>
      </c>
      <c r="D17" s="5">
        <v>64.992999999999995</v>
      </c>
      <c r="E17" s="12">
        <f t="shared" si="1"/>
        <v>5.0217813082673368E-2</v>
      </c>
      <c r="F17" s="5">
        <f>BlackScholesCallwithDiv($O$1,F$1,$C17,$E17,'Volatility table'!D17/100,RF!$H$1)</f>
        <v>30.476920626226658</v>
      </c>
      <c r="G17" s="5">
        <f>BlackScholesCallwithDiv($O$1,G$1,$C17,$E17,'Volatility table'!E17/100,RF!$H$1)</f>
        <v>25.174095709337742</v>
      </c>
      <c r="H17" s="5">
        <f>BlackScholesCallwithDiv($O$1,H$1,$C17,$E17,'Volatility table'!F17/100,RF!$H$1)</f>
        <v>20.081382276705487</v>
      </c>
      <c r="I17" s="5">
        <f>BlackScholesCallwithDiv($O$1,I$1,$C17,$E17,'Volatility table'!G17/100,RF!$H$1)</f>
        <v>17.638949050872064</v>
      </c>
      <c r="J17" s="5">
        <f>BlackScholesCallwithDiv($O$1,J$1,$C17,$E17,'Volatility table'!H17/100,RF!$H$1)</f>
        <v>15.277094259743542</v>
      </c>
      <c r="K17" s="5">
        <f>BlackScholesCallwithDiv($O$1,K$1,$C17,$E17,'Volatility table'!I17/100,RF!$H$1)</f>
        <v>13.001828112974884</v>
      </c>
      <c r="L17" s="5">
        <f>BlackScholesCallwithDiv($O$1,L$1,$C17,$E17,'Volatility table'!J17/100,RF!$H$1)</f>
        <v>10.840231253493783</v>
      </c>
      <c r="M17" s="5">
        <f>BlackScholesCallwithDiv($O$1,M$1,$C17,$E17,'Volatility table'!K17/100,RF!$H$1)</f>
        <v>8.797271672243852</v>
      </c>
      <c r="N17" s="5">
        <f>BlackScholesCallwithDiv($O$1,N$1,$C17,$E17,'Volatility table'!L17/100,RF!$H$1)</f>
        <v>7.8311528579711052</v>
      </c>
      <c r="O17" s="5">
        <f>BlackScholesCallwithDiv($O$1,O$1,$C17,$E17,'Volatility table'!M17/100,RF!$H$1)</f>
        <v>6.9035356479075354</v>
      </c>
      <c r="P17" s="5">
        <f>BlackScholesCallwithDiv($O$1,P$1,$C17,$E17,'Volatility table'!N17/100,RF!$H$1)</f>
        <v>6.0173962345700822</v>
      </c>
      <c r="Q17" s="5">
        <f>BlackScholesCallwithDiv($O$1,Q$1,$C17,$E17,'Volatility table'!O17/100,RF!$H$1)</f>
        <v>5.1760453896802332</v>
      </c>
      <c r="R17" s="5">
        <f>BlackScholesCallwithDiv($O$1,R$1,$C17,$E17,'Volatility table'!P17/100,RF!$H$1)</f>
        <v>3.6399778271528191</v>
      </c>
      <c r="S17" s="5">
        <f>BlackScholesCallwithDiv($O$1,S$1,$C17,$E17,'Volatility table'!Q17/100,RF!$H$1)</f>
        <v>2.3344397866931352</v>
      </c>
      <c r="T17" s="5">
        <f>BlackScholesCallwithDiv($O$1,T$1,$C17,$E17,'Volatility table'!R17/100,RF!$H$1)</f>
        <v>1.3054498013553317</v>
      </c>
      <c r="U17" s="5">
        <f>BlackScholesCallwithDiv($O$1,U$1,$C17,$E17,'Volatility table'!S17/100,RF!$H$1)</f>
        <v>0.88724041600812775</v>
      </c>
      <c r="V17" s="5">
        <f>BlackScholesCallwithDiv($O$1,V$1,$C17,$E17,'Volatility table'!T17/100,RF!$H$1)</f>
        <v>0.61069711742512123</v>
      </c>
      <c r="W17" s="5">
        <f>BlackScholesCallwithDiv($O$1,W$1,$C17,$E17,'Volatility table'!U17/100,RF!$H$1)</f>
        <v>0.28387122620429794</v>
      </c>
      <c r="X17" s="5">
        <f>BlackScholesCallwithDiv($O$1,X$1,$C17,$E17,'Volatility table'!V17/100,RF!$H$1)</f>
        <v>0.13011677732731397</v>
      </c>
    </row>
    <row r="18" spans="1:24" x14ac:dyDescent="0.3">
      <c r="A18" s="3" t="s">
        <v>38</v>
      </c>
      <c r="B18" s="4">
        <v>45392</v>
      </c>
      <c r="C18" s="10">
        <f t="shared" si="0"/>
        <v>1.4164383561643836</v>
      </c>
      <c r="D18" s="5">
        <v>65.227999999999994</v>
      </c>
      <c r="E18" s="12">
        <f t="shared" si="1"/>
        <v>4.990797296702687E-2</v>
      </c>
      <c r="F18" s="5">
        <f>BlackScholesCallwithDiv($O$1,F$1,$C18,$E18,'Volatility table'!D18/100,RF!$H$1)</f>
        <v>30.491041493181442</v>
      </c>
      <c r="G18" s="5">
        <f>BlackScholesCallwithDiv($O$1,G$1,$C18,$E18,'Volatility table'!E18/100,RF!$H$1)</f>
        <v>25.232873520096597</v>
      </c>
      <c r="H18" s="5">
        <f>BlackScholesCallwithDiv($O$1,H$1,$C18,$E18,'Volatility table'!F18/100,RF!$H$1)</f>
        <v>20.183891696506056</v>
      </c>
      <c r="I18" s="5">
        <f>BlackScholesCallwithDiv($O$1,I$1,$C18,$E18,'Volatility table'!G18/100,RF!$H$1)</f>
        <v>17.761521363839915</v>
      </c>
      <c r="J18" s="5">
        <f>BlackScholesCallwithDiv($O$1,J$1,$C18,$E18,'Volatility table'!H18/100,RF!$H$1)</f>
        <v>15.417611629866627</v>
      </c>
      <c r="K18" s="5">
        <f>BlackScholesCallwithDiv($O$1,K$1,$C18,$E18,'Volatility table'!I18/100,RF!$H$1)</f>
        <v>13.15739950202148</v>
      </c>
      <c r="L18" s="5">
        <f>BlackScholesCallwithDiv($O$1,L$1,$C18,$E18,'Volatility table'!J18/100,RF!$H$1)</f>
        <v>11.006610811319234</v>
      </c>
      <c r="M18" s="5">
        <f>BlackScholesCallwithDiv($O$1,M$1,$C18,$E18,'Volatility table'!K18/100,RF!$H$1)</f>
        <v>8.9697497004301496</v>
      </c>
      <c r="N18" s="5">
        <f>BlackScholesCallwithDiv($O$1,N$1,$C18,$E18,'Volatility table'!L18/100,RF!$H$1)</f>
        <v>8.0041794574524836</v>
      </c>
      <c r="O18" s="5">
        <f>BlackScholesCallwithDiv($O$1,O$1,$C18,$E18,'Volatility table'!M18/100,RF!$H$1)</f>
        <v>7.0754325185833267</v>
      </c>
      <c r="P18" s="5">
        <f>BlackScholesCallwithDiv($O$1,P$1,$C18,$E18,'Volatility table'!N18/100,RF!$H$1)</f>
        <v>6.1866241767233809</v>
      </c>
      <c r="Q18" s="5">
        <f>BlackScholesCallwithDiv($O$1,Q$1,$C18,$E18,'Volatility table'!O18/100,RF!$H$1)</f>
        <v>5.3403951396830749</v>
      </c>
      <c r="R18" s="5">
        <f>BlackScholesCallwithDiv($O$1,R$1,$C18,$E18,'Volatility table'!P18/100,RF!$H$1)</f>
        <v>3.7883451773491394</v>
      </c>
      <c r="S18" s="5">
        <f>BlackScholesCallwithDiv($O$1,S$1,$C18,$E18,'Volatility table'!Q18/100,RF!$H$1)</f>
        <v>2.4582401051094678</v>
      </c>
      <c r="T18" s="5">
        <f>BlackScholesCallwithDiv($O$1,T$1,$C18,$E18,'Volatility table'!R18/100,RF!$H$1)</f>
        <v>1.4047573985810544</v>
      </c>
      <c r="U18" s="5">
        <f>BlackScholesCallwithDiv($O$1,U$1,$C18,$E18,'Volatility table'!S18/100,RF!$H$1)</f>
        <v>0.97015776673633347</v>
      </c>
      <c r="V18" s="5">
        <f>BlackScholesCallwithDiv($O$1,V$1,$C18,$E18,'Volatility table'!T18/100,RF!$H$1)</f>
        <v>0.67647075511777377</v>
      </c>
      <c r="W18" s="5">
        <f>BlackScholesCallwithDiv($O$1,W$1,$C18,$E18,'Volatility table'!U18/100,RF!$H$1)</f>
        <v>0.32269485287157984</v>
      </c>
      <c r="X18" s="5">
        <f>BlackScholesCallwithDiv($O$1,X$1,$C18,$E18,'Volatility table'!V18/100,RF!$H$1)</f>
        <v>0.15162438106392639</v>
      </c>
    </row>
    <row r="19" spans="1:24" x14ac:dyDescent="0.3">
      <c r="A19" s="3" t="s">
        <v>39</v>
      </c>
      <c r="B19" s="4">
        <v>45422</v>
      </c>
      <c r="C19" s="10">
        <f t="shared" si="0"/>
        <v>1.4986301369863013</v>
      </c>
      <c r="D19" s="5">
        <v>65.459000000000003</v>
      </c>
      <c r="E19" s="12">
        <f t="shared" si="1"/>
        <v>4.9580308482217728E-2</v>
      </c>
      <c r="F19" s="5">
        <f>BlackScholesCallwithDiv($O$1,F$1,$C19,$E19,'Volatility table'!D19/100,RF!$H$1)</f>
        <v>30.504402049036536</v>
      </c>
      <c r="G19" s="5">
        <f>BlackScholesCallwithDiv($O$1,G$1,$C19,$E19,'Volatility table'!E19/100,RF!$H$1)</f>
        <v>25.289461321501385</v>
      </c>
      <c r="H19" s="5">
        <f>BlackScholesCallwithDiv($O$1,H$1,$C19,$E19,'Volatility table'!F19/100,RF!$H$1)</f>
        <v>20.282533434388778</v>
      </c>
      <c r="I19" s="5">
        <f>BlackScholesCallwithDiv($O$1,I$1,$C19,$E19,'Volatility table'!G19/100,RF!$H$1)</f>
        <v>17.879203526592192</v>
      </c>
      <c r="J19" s="5">
        <f>BlackScholesCallwithDiv($O$1,J$1,$C19,$E19,'Volatility table'!H19/100,RF!$H$1)</f>
        <v>15.552241793390348</v>
      </c>
      <c r="K19" s="5">
        <f>BlackScholesCallwithDiv($O$1,K$1,$C19,$E19,'Volatility table'!I19/100,RF!$H$1)</f>
        <v>13.306190209077265</v>
      </c>
      <c r="L19" s="5">
        <f>BlackScholesCallwithDiv($O$1,L$1,$C19,$E19,'Volatility table'!J19/100,RF!$H$1)</f>
        <v>11.165990112447318</v>
      </c>
      <c r="M19" s="5">
        <f>BlackScholesCallwithDiv($O$1,M$1,$C19,$E19,'Volatility table'!K19/100,RF!$H$1)</f>
        <v>9.1346300769962774</v>
      </c>
      <c r="N19" s="5">
        <f>BlackScholesCallwithDiv($O$1,N$1,$C19,$E19,'Volatility table'!L19/100,RF!$H$1)</f>
        <v>8.1697013643267091</v>
      </c>
      <c r="O19" s="5">
        <f>BlackScholesCallwithDiv($O$1,O$1,$C19,$E19,'Volatility table'!M19/100,RF!$H$1)</f>
        <v>7.2403173342153906</v>
      </c>
      <c r="P19" s="5">
        <f>BlackScholesCallwithDiv($O$1,P$1,$C19,$E19,'Volatility table'!N19/100,RF!$H$1)</f>
        <v>6.3489271723006162</v>
      </c>
      <c r="Q19" s="5">
        <f>BlackScholesCallwithDiv($O$1,Q$1,$C19,$E19,'Volatility table'!O19/100,RF!$H$1)</f>
        <v>5.4985916067112228</v>
      </c>
      <c r="R19" s="5">
        <f>BlackScholesCallwithDiv($O$1,R$1,$C19,$E19,'Volatility table'!P19/100,RF!$H$1)</f>
        <v>3.9316663451564828</v>
      </c>
      <c r="S19" s="5">
        <f>BlackScholesCallwithDiv($O$1,S$1,$C19,$E19,'Volatility table'!Q19/100,RF!$H$1)</f>
        <v>2.5788518143151435</v>
      </c>
      <c r="T19" s="5">
        <f>BlackScholesCallwithDiv($O$1,T$1,$C19,$E19,'Volatility table'!R19/100,RF!$H$1)</f>
        <v>1.5024592654031608</v>
      </c>
      <c r="U19" s="5">
        <f>BlackScholesCallwithDiv($O$1,U$1,$C19,$E19,'Volatility table'!S19/100,RF!$H$1)</f>
        <v>1.0532096937714428</v>
      </c>
      <c r="V19" s="5">
        <f>BlackScholesCallwithDiv($O$1,V$1,$C19,$E19,'Volatility table'!T19/100,RF!$H$1)</f>
        <v>0.74313997822808897</v>
      </c>
      <c r="W19" s="5">
        <f>BlackScholesCallwithDiv($O$1,W$1,$C19,$E19,'Volatility table'!U19/100,RF!$H$1)</f>
        <v>0.36284621446679477</v>
      </c>
      <c r="X19" s="5">
        <f>BlackScholesCallwithDiv($O$1,X$1,$C19,$E19,'Volatility table'!V19/100,RF!$H$1)</f>
        <v>0.17449020830090145</v>
      </c>
    </row>
    <row r="20" spans="1:24" x14ac:dyDescent="0.3">
      <c r="A20" s="3" t="s">
        <v>40</v>
      </c>
      <c r="B20" s="4">
        <v>45453</v>
      </c>
      <c r="C20" s="10">
        <f t="shared" si="0"/>
        <v>1.5835616438356164</v>
      </c>
      <c r="D20" s="5">
        <v>65.694999999999993</v>
      </c>
      <c r="E20" s="12">
        <f t="shared" si="1"/>
        <v>4.9241646504506464E-2</v>
      </c>
      <c r="F20" s="5">
        <f>BlackScholesCallwithDiv($O$1,F$1,$C20,$E20,'Volatility table'!D20/100,RF!$H$1)</f>
        <v>30.517814901658646</v>
      </c>
      <c r="G20" s="5">
        <f>BlackScholesCallwithDiv($O$1,G$1,$C20,$E20,'Volatility table'!E20/100,RF!$H$1)</f>
        <v>25.346175811935368</v>
      </c>
      <c r="H20" s="5">
        <f>BlackScholesCallwithDiv($O$1,H$1,$C20,$E20,'Volatility table'!F20/100,RF!$H$1)</f>
        <v>20.380906213291624</v>
      </c>
      <c r="I20" s="5">
        <f>BlackScholesCallwithDiv($O$1,I$1,$C20,$E20,'Volatility table'!G20/100,RF!$H$1)</f>
        <v>17.996546549002364</v>
      </c>
      <c r="J20" s="5">
        <f>BlackScholesCallwithDiv($O$1,J$1,$C20,$E20,'Volatility table'!H20/100,RF!$H$1)</f>
        <v>15.686307595980757</v>
      </c>
      <c r="K20" s="5">
        <f>BlackScholesCallwithDiv($O$1,K$1,$C20,$E20,'Volatility table'!I20/100,RF!$H$1)</f>
        <v>13.45401006255582</v>
      </c>
      <c r="L20" s="5">
        <f>BlackScholesCallwithDiv($O$1,L$1,$C20,$E20,'Volatility table'!J20/100,RF!$H$1)</f>
        <v>11.324056396093351</v>
      </c>
      <c r="M20" s="5">
        <f>BlackScholesCallwithDiv($O$1,M$1,$C20,$E20,'Volatility table'!K20/100,RF!$H$1)</f>
        <v>9.2984778057751285</v>
      </c>
      <c r="N20" s="5">
        <f>BlackScholesCallwithDiv($O$1,N$1,$C20,$E20,'Volatility table'!L20/100,RF!$H$1)</f>
        <v>8.334283152013974</v>
      </c>
      <c r="O20" s="5">
        <f>BlackScholesCallwithDiv($O$1,O$1,$C20,$E20,'Volatility table'!M20/100,RF!$H$1)</f>
        <v>7.4041429829686258</v>
      </c>
      <c r="P20" s="5">
        <f>BlackScholesCallwithDiv($O$1,P$1,$C20,$E20,'Volatility table'!N20/100,RF!$H$1)</f>
        <v>6.5103775545352534</v>
      </c>
      <c r="Q20" s="5">
        <f>BlackScholesCallwithDiv($O$1,Q$1,$C20,$E20,'Volatility table'!O20/100,RF!$H$1)</f>
        <v>5.6559303819492399</v>
      </c>
      <c r="R20" s="5">
        <f>BlackScholesCallwithDiv($O$1,R$1,$C20,$E20,'Volatility table'!P20/100,RF!$H$1)</f>
        <v>4.0754256242997933</v>
      </c>
      <c r="S20" s="5">
        <f>BlackScholesCallwithDiv($O$1,S$1,$C20,$E20,'Volatility table'!Q20/100,RF!$H$1)</f>
        <v>2.7005154924787966</v>
      </c>
      <c r="T20" s="5">
        <f>BlackScholesCallwithDiv($O$1,T$1,$C20,$E20,'Volatility table'!R20/100,RF!$H$1)</f>
        <v>1.6024113128049553</v>
      </c>
      <c r="U20" s="5">
        <f>BlackScholesCallwithDiv($O$1,U$1,$C20,$E20,'Volatility table'!S20/100,RF!$H$1)</f>
        <v>1.1388071311380159</v>
      </c>
      <c r="V20" s="5">
        <f>BlackScholesCallwithDiv($O$1,V$1,$C20,$E20,'Volatility table'!T20/100,RF!$H$1)</f>
        <v>0.81251132780125612</v>
      </c>
      <c r="W20" s="5">
        <f>BlackScholesCallwithDiv($O$1,W$1,$C20,$E20,'Volatility table'!U20/100,RF!$H$1)</f>
        <v>0.40589184131121669</v>
      </c>
      <c r="X20" s="5">
        <f>BlackScholesCallwithDiv($O$1,X$1,$C20,$E20,'Volatility table'!V20/100,RF!$H$1)</f>
        <v>0.19958886499204942</v>
      </c>
    </row>
    <row r="21" spans="1:24" x14ac:dyDescent="0.3">
      <c r="A21" s="3" t="s">
        <v>41</v>
      </c>
      <c r="B21" s="4">
        <v>45483</v>
      </c>
      <c r="C21" s="10">
        <f t="shared" si="0"/>
        <v>1.6657534246575343</v>
      </c>
      <c r="D21" s="5">
        <v>65.918000000000006</v>
      </c>
      <c r="E21" s="12">
        <f t="shared" si="1"/>
        <v>4.8887682469032079E-2</v>
      </c>
      <c r="F21" s="5">
        <f>BlackScholesCallwithDiv($O$1,F$1,$C21,$E21,'Volatility table'!D21/100,RF!$H$1)</f>
        <v>30.529153815906003</v>
      </c>
      <c r="G21" s="5">
        <f>BlackScholesCallwithDiv($O$1,G$1,$C21,$E21,'Volatility table'!E21/100,RF!$H$1)</f>
        <v>25.398229311071411</v>
      </c>
      <c r="H21" s="5">
        <f>BlackScholesCallwithDiv($O$1,H$1,$C21,$E21,'Volatility table'!F21/100,RF!$H$1)</f>
        <v>20.471521522019575</v>
      </c>
      <c r="I21" s="5">
        <f>BlackScholesCallwithDiv($O$1,I$1,$C21,$E21,'Volatility table'!G21/100,RF!$H$1)</f>
        <v>18.104612801228438</v>
      </c>
      <c r="J21" s="5">
        <f>BlackScholesCallwithDiv($O$1,J$1,$C21,$E21,'Volatility table'!H21/100,RF!$H$1)</f>
        <v>15.809671982882385</v>
      </c>
      <c r="K21" s="5">
        <f>BlackScholesCallwithDiv($O$1,K$1,$C21,$E21,'Volatility table'!I21/100,RF!$H$1)</f>
        <v>13.590339775780588</v>
      </c>
      <c r="L21" s="5">
        <f>BlackScholesCallwithDiv($O$1,L$1,$C21,$E21,'Volatility table'!J21/100,RF!$H$1)</f>
        <v>11.469746643828291</v>
      </c>
      <c r="M21" s="5">
        <f>BlackScholesCallwithDiv($O$1,M$1,$C21,$E21,'Volatility table'!K21/100,RF!$H$1)</f>
        <v>9.4494659289096674</v>
      </c>
      <c r="N21" s="5">
        <f>BlackScholesCallwithDiv($O$1,N$1,$C21,$E21,'Volatility table'!L21/100,RF!$H$1)</f>
        <v>8.4863702018076665</v>
      </c>
      <c r="O21" s="5">
        <f>BlackScholesCallwithDiv($O$1,O$1,$C21,$E21,'Volatility table'!M21/100,RF!$H$1)</f>
        <v>7.5557163159233731</v>
      </c>
      <c r="P21" s="5">
        <f>BlackScholesCallwithDiv($O$1,P$1,$C21,$E21,'Volatility table'!N21/100,RF!$H$1)</f>
        <v>6.6599800119896848</v>
      </c>
      <c r="Q21" s="5">
        <f>BlackScholesCallwithDiv($O$1,Q$1,$C21,$E21,'Volatility table'!O21/100,RF!$H$1)</f>
        <v>5.8019963971880095</v>
      </c>
      <c r="R21" s="5">
        <f>BlackScholesCallwithDiv($O$1,R$1,$C21,$E21,'Volatility table'!P21/100,RF!$H$1)</f>
        <v>4.2090185799054183</v>
      </c>
      <c r="S21" s="5">
        <f>BlackScholesCallwithDiv($O$1,S$1,$C21,$E21,'Volatility table'!Q21/100,RF!$H$1)</f>
        <v>2.8146619573659812</v>
      </c>
      <c r="T21" s="5">
        <f>BlackScholesCallwithDiv($O$1,T$1,$C21,$E21,'Volatility table'!R21/100,RF!$H$1)</f>
        <v>1.6969132087720595</v>
      </c>
      <c r="U21" s="5">
        <f>BlackScholesCallwithDiv($O$1,U$1,$C21,$E21,'Volatility table'!S21/100,RF!$H$1)</f>
        <v>1.2207190728317112</v>
      </c>
      <c r="V21" s="5">
        <f>BlackScholesCallwithDiv($O$1,V$1,$C21,$E21,'Volatility table'!T21/100,RF!$H$1)</f>
        <v>0.87989304990990647</v>
      </c>
      <c r="W21" s="5">
        <f>BlackScholesCallwithDiv($O$1,W$1,$C21,$E21,'Volatility table'!U21/100,RF!$H$1)</f>
        <v>0.44861880034692447</v>
      </c>
      <c r="X21" s="5">
        <f>BlackScholesCallwithDiv($O$1,X$1,$C21,$E21,'Volatility table'!V21/100,RF!$H$1)</f>
        <v>0.22505829383342268</v>
      </c>
    </row>
    <row r="22" spans="1:24" x14ac:dyDescent="0.3">
      <c r="A22" s="3" t="s">
        <v>42</v>
      </c>
      <c r="B22" s="4">
        <v>45516</v>
      </c>
      <c r="C22" s="10">
        <f t="shared" si="0"/>
        <v>1.7561643835616438</v>
      </c>
      <c r="D22" s="5">
        <v>66.161000000000001</v>
      </c>
      <c r="E22" s="12">
        <f t="shared" si="1"/>
        <v>4.8508062046358935E-2</v>
      </c>
      <c r="F22" s="5">
        <f>BlackScholesCallwithDiv($O$1,F$1,$C22,$E22,'Volatility table'!D22/100,RF!$H$1)</f>
        <v>30.54125119513688</v>
      </c>
      <c r="G22" s="5">
        <f>BlackScholesCallwithDiv($O$1,G$1,$C22,$E22,'Volatility table'!E22/100,RF!$H$1)</f>
        <v>25.453598302503892</v>
      </c>
      <c r="H22" s="5">
        <f>BlackScholesCallwithDiv($O$1,H$1,$C22,$E22,'Volatility table'!F22/100,RF!$H$1)</f>
        <v>20.567961794713359</v>
      </c>
      <c r="I22" s="5">
        <f>BlackScholesCallwithDiv($O$1,I$1,$C22,$E22,'Volatility table'!G22/100,RF!$H$1)</f>
        <v>18.219259769655874</v>
      </c>
      <c r="J22" s="5">
        <f>BlackScholesCallwithDiv($O$1,J$1,$C22,$E22,'Volatility table'!H22/100,RF!$H$1)</f>
        <v>15.940594034125365</v>
      </c>
      <c r="K22" s="5">
        <f>BlackScholesCallwithDiv($O$1,K$1,$C22,$E22,'Volatility table'!I22/100,RF!$H$1)</f>
        <v>13.73489411972103</v>
      </c>
      <c r="L22" s="5">
        <f>BlackScholesCallwithDiv($O$1,L$1,$C22,$E22,'Volatility table'!J22/100,RF!$H$1)</f>
        <v>11.624169532802657</v>
      </c>
      <c r="M22" s="5">
        <f>BlackScholesCallwithDiv($O$1,M$1,$C22,$E22,'Volatility table'!K22/100,RF!$H$1)</f>
        <v>9.6098303002700476</v>
      </c>
      <c r="N22" s="5">
        <f>BlackScholesCallwithDiv($O$1,N$1,$C22,$E22,'Volatility table'!L22/100,RF!$H$1)</f>
        <v>8.6474011312560464</v>
      </c>
      <c r="O22" s="5">
        <f>BlackScholesCallwithDiv($O$1,O$1,$C22,$E22,'Volatility table'!M22/100,RF!$H$1)</f>
        <v>7.7163071138380879</v>
      </c>
      <c r="P22" s="5">
        <f>BlackScholesCallwithDiv($O$1,P$1,$C22,$E22,'Volatility table'!N22/100,RF!$H$1)</f>
        <v>6.8186299663007439</v>
      </c>
      <c r="Q22" s="5">
        <f>BlackScholesCallwithDiv($O$1,Q$1,$C22,$E22,'Volatility table'!O22/100,RF!$H$1)</f>
        <v>5.9570917744246437</v>
      </c>
      <c r="R22" s="5">
        <f>BlackScholesCallwithDiv($O$1,R$1,$C22,$E22,'Volatility table'!P22/100,RF!$H$1)</f>
        <v>4.3517210506636559</v>
      </c>
      <c r="S22" s="5">
        <f>BlackScholesCallwithDiv($O$1,S$1,$C22,$E22,'Volatility table'!Q22/100,RF!$H$1)</f>
        <v>2.9370960837656312</v>
      </c>
      <c r="T22" s="5">
        <f>BlackScholesCallwithDiv($O$1,T$1,$C22,$E22,'Volatility table'!R22/100,RF!$H$1)</f>
        <v>1.7995129074696141</v>
      </c>
      <c r="U22" s="5">
        <f>BlackScholesCallwithDiv($O$1,U$1,$C22,$E22,'Volatility table'!S22/100,RF!$H$1)</f>
        <v>1.3104914511401731</v>
      </c>
      <c r="V22" s="5">
        <f>BlackScholesCallwithDiv($O$1,V$1,$C22,$E22,'Volatility table'!T22/100,RF!$H$1)</f>
        <v>0.95429620713731111</v>
      </c>
      <c r="W22" s="5">
        <f>BlackScholesCallwithDiv($O$1,W$1,$C22,$E22,'Volatility table'!U22/100,RF!$H$1)</f>
        <v>0.49667207930951918</v>
      </c>
      <c r="X22" s="5">
        <f>BlackScholesCallwithDiv($O$1,X$1,$C22,$E22,'Volatility table'!V22/100,RF!$H$1)</f>
        <v>0.25440369242271066</v>
      </c>
    </row>
    <row r="23" spans="1:24" x14ac:dyDescent="0.3">
      <c r="A23" s="3" t="s">
        <v>43</v>
      </c>
      <c r="B23" s="4">
        <v>45545</v>
      </c>
      <c r="C23" s="10">
        <f t="shared" si="0"/>
        <v>1.8356164383561644</v>
      </c>
      <c r="D23" s="5">
        <v>66.370999999999995</v>
      </c>
      <c r="E23" s="12">
        <f t="shared" si="1"/>
        <v>4.8168561900005846E-2</v>
      </c>
      <c r="F23" s="5">
        <f>BlackScholesCallwithDiv($O$1,F$1,$C23,$E23,'Volatility table'!D23/100,RF!$H$1)</f>
        <v>30.550826091498642</v>
      </c>
      <c r="G23" s="5">
        <f>BlackScholesCallwithDiv($O$1,G$1,$C23,$E23,'Volatility table'!E23/100,RF!$H$1)</f>
        <v>25.500060980648634</v>
      </c>
      <c r="H23" s="5">
        <f>BlackScholesCallwithDiv($O$1,H$1,$C23,$E23,'Volatility table'!F23/100,RF!$H$1)</f>
        <v>20.64907530867919</v>
      </c>
      <c r="I23" s="5">
        <f>BlackScholesCallwithDiv($O$1,I$1,$C23,$E23,'Volatility table'!G23/100,RF!$H$1)</f>
        <v>18.315777117790276</v>
      </c>
      <c r="J23" s="5">
        <f>BlackScholesCallwithDiv($O$1,J$1,$C23,$E23,'Volatility table'!H23/100,RF!$H$1)</f>
        <v>16.050935675596872</v>
      </c>
      <c r="K23" s="5">
        <f>BlackScholesCallwithDiv($O$1,K$1,$C23,$E23,'Volatility table'!I23/100,RF!$H$1)</f>
        <v>13.856387688285814</v>
      </c>
      <c r="L23" s="5">
        <f>BlackScholesCallwithDiv($O$1,L$1,$C23,$E23,'Volatility table'!J23/100,RF!$H$1)</f>
        <v>11.754354433488459</v>
      </c>
      <c r="M23" s="5">
        <f>BlackScholesCallwithDiv($O$1,M$1,$C23,$E23,'Volatility table'!K23/100,RF!$H$1)</f>
        <v>9.7447248617761701</v>
      </c>
      <c r="N23" s="5">
        <f>BlackScholesCallwithDiv($O$1,N$1,$C23,$E23,'Volatility table'!L23/100,RF!$H$1)</f>
        <v>8.7832254410675326</v>
      </c>
      <c r="O23" s="5">
        <f>BlackScholesCallwithDiv($O$1,O$1,$C23,$E23,'Volatility table'!M23/100,RF!$H$1)</f>
        <v>7.8519281880144902</v>
      </c>
      <c r="P23" s="5">
        <f>BlackScholesCallwithDiv($O$1,P$1,$C23,$E23,'Volatility table'!N23/100,RF!$H$1)</f>
        <v>6.9528138876300822</v>
      </c>
      <c r="Q23" s="5">
        <f>BlackScholesCallwithDiv($O$1,Q$1,$C23,$E23,'Volatility table'!O23/100,RF!$H$1)</f>
        <v>6.088198918440078</v>
      </c>
      <c r="R23" s="5">
        <f>BlackScholesCallwithDiv($O$1,R$1,$C23,$E23,'Volatility table'!P23/100,RF!$H$1)</f>
        <v>4.472925081765915</v>
      </c>
      <c r="S23" s="5">
        <f>BlackScholesCallwithDiv($O$1,S$1,$C23,$E23,'Volatility table'!Q23/100,RF!$H$1)</f>
        <v>3.0417681405713743</v>
      </c>
      <c r="T23" s="5">
        <f>BlackScholesCallwithDiv($O$1,T$1,$C23,$E23,'Volatility table'!R23/100,RF!$H$1)</f>
        <v>1.8878048458613925</v>
      </c>
      <c r="U23" s="5">
        <f>BlackScholesCallwithDiv($O$1,U$1,$C23,$E23,'Volatility table'!S23/100,RF!$H$1)</f>
        <v>1.3883900187561959</v>
      </c>
      <c r="V23" s="5">
        <f>BlackScholesCallwithDiv($O$1,V$1,$C23,$E23,'Volatility table'!T23/100,RF!$H$1)</f>
        <v>1.0196612756617842</v>
      </c>
      <c r="W23" s="5">
        <f>BlackScholesCallwithDiv($O$1,W$1,$C23,$E23,'Volatility table'!U23/100,RF!$H$1)</f>
        <v>0.53975666400224132</v>
      </c>
      <c r="X23" s="5">
        <f>BlackScholesCallwithDiv($O$1,X$1,$C23,$E23,'Volatility table'!V23/100,RF!$H$1)</f>
        <v>0.28114814607752203</v>
      </c>
    </row>
    <row r="24" spans="1:24" x14ac:dyDescent="0.3">
      <c r="A24" s="3" t="s">
        <v>44</v>
      </c>
      <c r="B24" s="4">
        <v>45575</v>
      </c>
      <c r="C24" s="10">
        <f t="shared" si="0"/>
        <v>1.9178082191780821</v>
      </c>
      <c r="D24" s="5">
        <v>66.585999999999999</v>
      </c>
      <c r="E24" s="12">
        <f t="shared" si="1"/>
        <v>4.7822911102199495E-2</v>
      </c>
      <c r="F24" s="5">
        <f>BlackScholesCallwithDiv($O$1,F$1,$C24,$E24,'Volatility table'!D24/100,RF!$H$1)</f>
        <v>30.560099342177367</v>
      </c>
      <c r="G24" s="5">
        <f>BlackScholesCallwithDiv($O$1,G$1,$C24,$E24,'Volatility table'!E24/100,RF!$H$1)</f>
        <v>25.546615018448552</v>
      </c>
      <c r="H24" s="5">
        <f>BlackScholesCallwithDiv($O$1,H$1,$C24,$E24,'Volatility table'!F24/100,RF!$H$1)</f>
        <v>20.730029230348045</v>
      </c>
      <c r="I24" s="5">
        <f>BlackScholesCallwithDiv($O$1,I$1,$C24,$E24,'Volatility table'!G24/100,RF!$H$1)</f>
        <v>18.412279082253999</v>
      </c>
      <c r="J24" s="5">
        <f>BlackScholesCallwithDiv($O$1,J$1,$C24,$E24,'Volatility table'!H24/100,RF!$H$1)</f>
        <v>16.161016835326159</v>
      </c>
      <c r="K24" s="5">
        <f>BlackScholesCallwithDiv($O$1,K$1,$C24,$E24,'Volatility table'!I24/100,RF!$H$1)</f>
        <v>13.97781538473896</v>
      </c>
      <c r="L24" s="5">
        <f>BlackScholesCallwithDiv($O$1,L$1,$C24,$E24,'Volatility table'!J24/100,RF!$H$1)</f>
        <v>11.883971025620905</v>
      </c>
      <c r="M24" s="5">
        <f>BlackScholesCallwithDiv($O$1,M$1,$C24,$E24,'Volatility table'!K24/100,RF!$H$1)</f>
        <v>9.879384534733159</v>
      </c>
      <c r="N24" s="5">
        <f>BlackScholesCallwithDiv($O$1,N$1,$C24,$E24,'Volatility table'!L24/100,RF!$H$1)</f>
        <v>8.9188868226694886</v>
      </c>
      <c r="O24" s="5">
        <f>BlackScholesCallwithDiv($O$1,O$1,$C24,$E24,'Volatility table'!M24/100,RF!$H$1)</f>
        <v>7.9874852432694503</v>
      </c>
      <c r="P24" s="5">
        <f>BlackScholesCallwithDiv($O$1,P$1,$C24,$E24,'Volatility table'!N24/100,RF!$H$1)</f>
        <v>7.0867494000282711</v>
      </c>
      <c r="Q24" s="5">
        <f>BlackScholesCallwithDiv($O$1,Q$1,$C24,$E24,'Volatility table'!O24/100,RF!$H$1)</f>
        <v>6.2198325684039872</v>
      </c>
      <c r="R24" s="5">
        <f>BlackScholesCallwithDiv($O$1,R$1,$C24,$E24,'Volatility table'!P24/100,RF!$H$1)</f>
        <v>4.5944283348449417</v>
      </c>
      <c r="S24" s="5">
        <f>BlackScholesCallwithDiv($O$1,S$1,$C24,$E24,'Volatility table'!Q24/100,RF!$H$1)</f>
        <v>3.1472303048301242</v>
      </c>
      <c r="T24" s="5">
        <f>BlackScholesCallwithDiv($O$1,T$1,$C24,$E24,'Volatility table'!R24/100,RF!$H$1)</f>
        <v>1.9776939247612351</v>
      </c>
      <c r="U24" s="5">
        <f>BlackScholesCallwithDiv($O$1,U$1,$C24,$E24,'Volatility table'!S24/100,RF!$H$1)</f>
        <v>1.4683326284364817</v>
      </c>
      <c r="V24" s="5">
        <f>BlackScholesCallwithDiv($O$1,V$1,$C24,$E24,'Volatility table'!T24/100,RF!$H$1)</f>
        <v>1.0870126574580681</v>
      </c>
      <c r="W24" s="5">
        <f>BlackScholesCallwithDiv($O$1,W$1,$C24,$E24,'Volatility table'!U24/100,RF!$H$1)</f>
        <v>0.58509593030841955</v>
      </c>
      <c r="X24" s="5">
        <f>BlackScholesCallwithDiv($O$1,X$1,$C24,$E24,'Volatility table'!V24/100,RF!$H$1)</f>
        <v>0.3098252985641059</v>
      </c>
    </row>
    <row r="25" spans="1:24" x14ac:dyDescent="0.3">
      <c r="A25" s="3" t="s">
        <v>45</v>
      </c>
      <c r="B25" s="4">
        <v>45608</v>
      </c>
      <c r="C25" s="10">
        <f t="shared" si="0"/>
        <v>2.0082191780821916</v>
      </c>
      <c r="D25" s="5">
        <v>66.819000000000003</v>
      </c>
      <c r="E25" s="12">
        <f t="shared" si="1"/>
        <v>4.744188934423077E-2</v>
      </c>
      <c r="F25" s="5">
        <f>BlackScholesCallwithDiv($O$1,F$1,$C25,$E25,'Volatility table'!D25/100,RF!$H$1)</f>
        <v>30.569121093447489</v>
      </c>
      <c r="G25" s="5">
        <f>BlackScholesCallwithDiv($O$1,G$1,$C25,$E25,'Volatility table'!E25/100,RF!$H$1)</f>
        <v>25.595284974113177</v>
      </c>
      <c r="H25" s="5">
        <f>BlackScholesCallwithDiv($O$1,H$1,$C25,$E25,'Volatility table'!F25/100,RF!$H$1)</f>
        <v>20.815478419168223</v>
      </c>
      <c r="I25" s="5">
        <f>BlackScholesCallwithDiv($O$1,I$1,$C25,$E25,'Volatility table'!G25/100,RF!$H$1)</f>
        <v>18.513980139201781</v>
      </c>
      <c r="J25" s="5">
        <f>BlackScholesCallwithDiv($O$1,J$1,$C25,$E25,'Volatility table'!H25/100,RF!$H$1)</f>
        <v>16.277050490938588</v>
      </c>
      <c r="K25" s="5">
        <f>BlackScholesCallwithDiv($O$1,K$1,$C25,$E25,'Volatility table'!I25/100,RF!$H$1)</f>
        <v>14.105829892390126</v>
      </c>
      <c r="L25" s="5">
        <f>BlackScholesCallwithDiv($O$1,L$1,$C25,$E25,'Volatility table'!J25/100,RF!$H$1)</f>
        <v>12.020941466818773</v>
      </c>
      <c r="M25" s="5">
        <f>BlackScholesCallwithDiv($O$1,M$1,$C25,$E25,'Volatility table'!K25/100,RF!$H$1)</f>
        <v>10.021789198333789</v>
      </c>
      <c r="N25" s="5">
        <f>BlackScholesCallwithDiv($O$1,N$1,$C25,$E25,'Volatility table'!L25/100,RF!$H$1)</f>
        <v>9.0624312008465679</v>
      </c>
      <c r="O25" s="5">
        <f>BlackScholesCallwithDiv($O$1,O$1,$C25,$E25,'Volatility table'!M25/100,RF!$H$1)</f>
        <v>8.1307110035975292</v>
      </c>
      <c r="P25" s="5">
        <f>BlackScholesCallwithDiv($O$1,P$1,$C25,$E25,'Volatility table'!N25/100,RF!$H$1)</f>
        <v>7.2287088658535161</v>
      </c>
      <c r="Q25" s="5">
        <f>BlackScholesCallwithDiv($O$1,Q$1,$C25,$E25,'Volatility table'!O25/100,RF!$H$1)</f>
        <v>6.358864640003226</v>
      </c>
      <c r="R25" s="5">
        <f>BlackScholesCallwithDiv($O$1,R$1,$C25,$E25,'Volatility table'!P25/100,RF!$H$1)</f>
        <v>4.7237982957756834</v>
      </c>
      <c r="S25" s="5">
        <f>BlackScholesCallwithDiv($O$1,S$1,$C25,$E25,'Volatility table'!Q25/100,RF!$H$1)</f>
        <v>3.2601099596450567</v>
      </c>
      <c r="T25" s="5">
        <f>BlackScholesCallwithDiv($O$1,T$1,$C25,$E25,'Volatility table'!R25/100,RF!$H$1)</f>
        <v>2.0745972243952444</v>
      </c>
      <c r="U25" s="5">
        <f>BlackScholesCallwithDiv($O$1,U$1,$C25,$E25,'Volatility table'!S25/100,RF!$H$1)</f>
        <v>1.5551712577978698</v>
      </c>
      <c r="V25" s="5">
        <f>BlackScholesCallwithDiv($O$1,V$1,$C25,$E25,'Volatility table'!T25/100,RF!$H$1)</f>
        <v>1.1607906715807506</v>
      </c>
      <c r="W25" s="5">
        <f>BlackScholesCallwithDiv($O$1,W$1,$C25,$E25,'Volatility table'!U25/100,RF!$H$1)</f>
        <v>0.63549610618642038</v>
      </c>
      <c r="X25" s="5">
        <f>BlackScholesCallwithDiv($O$1,X$1,$C25,$E25,'Volatility table'!V25/100,RF!$H$1)</f>
        <v>0.34228789217674915</v>
      </c>
    </row>
    <row r="27" spans="1:24" x14ac:dyDescent="0.3">
      <c r="E27" s="13"/>
    </row>
    <row r="28" spans="1:24" x14ac:dyDescent="0.3">
      <c r="D28" s="11"/>
      <c r="E28" s="11"/>
      <c r="F28" s="11"/>
    </row>
  </sheetData>
  <phoneticPr fontId="3" type="noConversion"/>
  <pageMargins left="0.5" right="0.5" top="1" bottom="1" header="0.5" footer="0.75"/>
  <pageSetup fitToHeigh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Volatility table</vt:lpstr>
      <vt:lpstr>RF</vt:lpstr>
      <vt:lpstr>Volatility Surface</vt:lpstr>
      <vt:lpstr>Volatility Surface_with Div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Zhou</dc:creator>
  <cp:lastModifiedBy>ZHOU, Yaran</cp:lastModifiedBy>
  <dcterms:created xsi:type="dcterms:W3CDTF">2023-11-24T12:54:33Z</dcterms:created>
  <dcterms:modified xsi:type="dcterms:W3CDTF">2023-11-24T15:36:34Z</dcterms:modified>
</cp:coreProperties>
</file>